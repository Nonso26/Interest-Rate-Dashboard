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
    </mc:Choice>
  </mc:AlternateContent>
  <workbookProtection workbookAlgorithmName="SHA-512" workbookHashValue="xwj5I1ctML5IUHFp+k6/F0ZEw2EPd7EfRH5xQLpjlLbOwvHT+dWpyIouXLjZjAC1Bspt4zmn++Q89YMBf85R3w==" workbookSaltValue="bLO7YoJbssUWgUpgZjPGJg==" workbookSpinCount="100000" lockStructure="1"/>
  <bookViews>
    <workbookView xWindow="0" yWindow="0" windowWidth="19200" windowHeight="7640" firstSheet="3" activeTab="3"/>
  </bookViews>
  <sheets>
    <sheet name="data" sheetId="3" state="hidden" r:id="rId1"/>
    <sheet name="Clean_Data" sheetId="6" state="hidden" r:id="rId2"/>
    <sheet name="Calculation" sheetId="7" state="hidden" r:id="rId3"/>
    <sheet name="Dashboard" sheetId="8" r:id="rId4"/>
  </sheets>
  <definedNames>
    <definedName name="ExternalData_1" localSheetId="1" hidden="1">Clean_Data!$A$1:$F$806</definedName>
    <definedName name="ExternalData_1" localSheetId="0" hidden="1">data!$A$1:$F$806</definedName>
    <definedName name="Slicer_Month">#N/A</definedName>
    <definedName name="Slicer_Year">#N/A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7" l="1"/>
  <c r="B8" i="7"/>
  <c r="B7" i="7"/>
  <c r="B6" i="7"/>
  <c r="B3" i="7"/>
  <c r="B2" i="7"/>
  <c r="B5" i="7" s="1"/>
  <c r="M806" i="6"/>
  <c r="L806" i="6"/>
  <c r="K806" i="6"/>
  <c r="J806" i="6"/>
  <c r="I806" i="6"/>
  <c r="H806" i="6"/>
  <c r="G806" i="6"/>
  <c r="M805" i="6"/>
  <c r="L805" i="6"/>
  <c r="K805" i="6"/>
  <c r="J805" i="6"/>
  <c r="I805" i="6"/>
  <c r="H805" i="6"/>
  <c r="G805" i="6"/>
  <c r="M804" i="6"/>
  <c r="L804" i="6"/>
  <c r="K804" i="6"/>
  <c r="J804" i="6"/>
  <c r="I804" i="6"/>
  <c r="H804" i="6"/>
  <c r="G804" i="6"/>
  <c r="M803" i="6"/>
  <c r="L803" i="6"/>
  <c r="K803" i="6"/>
  <c r="J803" i="6"/>
  <c r="I803" i="6"/>
  <c r="H803" i="6"/>
  <c r="G803" i="6"/>
  <c r="M802" i="6"/>
  <c r="L802" i="6"/>
  <c r="K802" i="6"/>
  <c r="J802" i="6"/>
  <c r="I802" i="6"/>
  <c r="H802" i="6"/>
  <c r="G802" i="6"/>
  <c r="M801" i="6"/>
  <c r="L801" i="6"/>
  <c r="K801" i="6"/>
  <c r="J801" i="6"/>
  <c r="I801" i="6"/>
  <c r="H801" i="6"/>
  <c r="G801" i="6"/>
  <c r="M800" i="6"/>
  <c r="L800" i="6"/>
  <c r="K800" i="6"/>
  <c r="J800" i="6"/>
  <c r="I800" i="6"/>
  <c r="H800" i="6"/>
  <c r="G800" i="6"/>
  <c r="M799" i="6"/>
  <c r="L799" i="6"/>
  <c r="K799" i="6"/>
  <c r="J799" i="6"/>
  <c r="I799" i="6"/>
  <c r="H799" i="6"/>
  <c r="G799" i="6"/>
  <c r="M798" i="6"/>
  <c r="L798" i="6"/>
  <c r="K798" i="6"/>
  <c r="J798" i="6"/>
  <c r="I798" i="6"/>
  <c r="H798" i="6"/>
  <c r="G798" i="6"/>
  <c r="M797" i="6"/>
  <c r="L797" i="6"/>
  <c r="K797" i="6"/>
  <c r="J797" i="6"/>
  <c r="I797" i="6"/>
  <c r="H797" i="6"/>
  <c r="G797" i="6"/>
  <c r="M796" i="6"/>
  <c r="L796" i="6"/>
  <c r="K796" i="6"/>
  <c r="J796" i="6"/>
  <c r="I796" i="6"/>
  <c r="H796" i="6"/>
  <c r="G796" i="6"/>
  <c r="M795" i="6"/>
  <c r="L795" i="6"/>
  <c r="K795" i="6"/>
  <c r="J795" i="6"/>
  <c r="I795" i="6"/>
  <c r="H795" i="6"/>
  <c r="G795" i="6"/>
  <c r="M794" i="6"/>
  <c r="L794" i="6"/>
  <c r="K794" i="6"/>
  <c r="J794" i="6"/>
  <c r="I794" i="6"/>
  <c r="H794" i="6"/>
  <c r="G794" i="6"/>
  <c r="M793" i="6"/>
  <c r="L793" i="6"/>
  <c r="K793" i="6"/>
  <c r="J793" i="6"/>
  <c r="I793" i="6"/>
  <c r="H793" i="6"/>
  <c r="G793" i="6"/>
  <c r="M792" i="6"/>
  <c r="L792" i="6"/>
  <c r="K792" i="6"/>
  <c r="J792" i="6"/>
  <c r="I792" i="6"/>
  <c r="H792" i="6"/>
  <c r="G792" i="6"/>
  <c r="M791" i="6"/>
  <c r="L791" i="6"/>
  <c r="K791" i="6"/>
  <c r="J791" i="6"/>
  <c r="I791" i="6"/>
  <c r="H791" i="6"/>
  <c r="G791" i="6"/>
  <c r="M790" i="6"/>
  <c r="L790" i="6"/>
  <c r="K790" i="6"/>
  <c r="J790" i="6"/>
  <c r="I790" i="6"/>
  <c r="H790" i="6"/>
  <c r="G790" i="6"/>
  <c r="M789" i="6"/>
  <c r="L789" i="6"/>
  <c r="K789" i="6"/>
  <c r="J789" i="6"/>
  <c r="I789" i="6"/>
  <c r="H789" i="6"/>
  <c r="G789" i="6"/>
  <c r="M788" i="6"/>
  <c r="L788" i="6"/>
  <c r="K788" i="6"/>
  <c r="J788" i="6"/>
  <c r="I788" i="6"/>
  <c r="H788" i="6"/>
  <c r="G788" i="6"/>
  <c r="M787" i="6"/>
  <c r="L787" i="6"/>
  <c r="K787" i="6"/>
  <c r="J787" i="6"/>
  <c r="I787" i="6"/>
  <c r="H787" i="6"/>
  <c r="G787" i="6"/>
  <c r="M786" i="6"/>
  <c r="L786" i="6"/>
  <c r="K786" i="6"/>
  <c r="J786" i="6"/>
  <c r="I786" i="6"/>
  <c r="H786" i="6"/>
  <c r="G786" i="6"/>
  <c r="M785" i="6"/>
  <c r="L785" i="6"/>
  <c r="K785" i="6"/>
  <c r="J785" i="6"/>
  <c r="I785" i="6"/>
  <c r="H785" i="6"/>
  <c r="G785" i="6"/>
  <c r="M784" i="6"/>
  <c r="L784" i="6"/>
  <c r="K784" i="6"/>
  <c r="J784" i="6"/>
  <c r="I784" i="6"/>
  <c r="H784" i="6"/>
  <c r="G784" i="6"/>
  <c r="M783" i="6"/>
  <c r="L783" i="6"/>
  <c r="K783" i="6"/>
  <c r="J783" i="6"/>
  <c r="I783" i="6"/>
  <c r="H783" i="6"/>
  <c r="G783" i="6"/>
  <c r="M782" i="6"/>
  <c r="L782" i="6"/>
  <c r="K782" i="6"/>
  <c r="J782" i="6"/>
  <c r="I782" i="6"/>
  <c r="H782" i="6"/>
  <c r="G782" i="6"/>
  <c r="M781" i="6"/>
  <c r="L781" i="6"/>
  <c r="K781" i="6"/>
  <c r="J781" i="6"/>
  <c r="I781" i="6"/>
  <c r="H781" i="6"/>
  <c r="G781" i="6"/>
  <c r="M780" i="6"/>
  <c r="L780" i="6"/>
  <c r="K780" i="6"/>
  <c r="J780" i="6"/>
  <c r="I780" i="6"/>
  <c r="H780" i="6"/>
  <c r="G780" i="6"/>
  <c r="M779" i="6"/>
  <c r="L779" i="6"/>
  <c r="K779" i="6"/>
  <c r="J779" i="6"/>
  <c r="I779" i="6"/>
  <c r="H779" i="6"/>
  <c r="G779" i="6"/>
  <c r="M778" i="6"/>
  <c r="L778" i="6"/>
  <c r="K778" i="6"/>
  <c r="J778" i="6"/>
  <c r="I778" i="6"/>
  <c r="H778" i="6"/>
  <c r="G778" i="6"/>
  <c r="M777" i="6"/>
  <c r="L777" i="6"/>
  <c r="K777" i="6"/>
  <c r="J777" i="6"/>
  <c r="I777" i="6"/>
  <c r="H777" i="6"/>
  <c r="G777" i="6"/>
  <c r="M776" i="6"/>
  <c r="L776" i="6"/>
  <c r="K776" i="6"/>
  <c r="J776" i="6"/>
  <c r="I776" i="6"/>
  <c r="H776" i="6"/>
  <c r="G776" i="6"/>
  <c r="M775" i="6"/>
  <c r="L775" i="6"/>
  <c r="K775" i="6"/>
  <c r="J775" i="6"/>
  <c r="I775" i="6"/>
  <c r="H775" i="6"/>
  <c r="G775" i="6"/>
  <c r="M774" i="6"/>
  <c r="L774" i="6"/>
  <c r="K774" i="6"/>
  <c r="J774" i="6"/>
  <c r="I774" i="6"/>
  <c r="H774" i="6"/>
  <c r="G774" i="6"/>
  <c r="M773" i="6"/>
  <c r="L773" i="6"/>
  <c r="K773" i="6"/>
  <c r="J773" i="6"/>
  <c r="I773" i="6"/>
  <c r="H773" i="6"/>
  <c r="G773" i="6"/>
  <c r="M772" i="6"/>
  <c r="L772" i="6"/>
  <c r="K772" i="6"/>
  <c r="J772" i="6"/>
  <c r="I772" i="6"/>
  <c r="H772" i="6"/>
  <c r="G772" i="6"/>
  <c r="M771" i="6"/>
  <c r="L771" i="6"/>
  <c r="K771" i="6"/>
  <c r="J771" i="6"/>
  <c r="I771" i="6"/>
  <c r="H771" i="6"/>
  <c r="G771" i="6"/>
  <c r="M770" i="6"/>
  <c r="L770" i="6"/>
  <c r="K770" i="6"/>
  <c r="J770" i="6"/>
  <c r="I770" i="6"/>
  <c r="H770" i="6"/>
  <c r="G770" i="6"/>
  <c r="M769" i="6"/>
  <c r="L769" i="6"/>
  <c r="K769" i="6"/>
  <c r="J769" i="6"/>
  <c r="I769" i="6"/>
  <c r="H769" i="6"/>
  <c r="G769" i="6"/>
  <c r="M768" i="6"/>
  <c r="L768" i="6"/>
  <c r="K768" i="6"/>
  <c r="J768" i="6"/>
  <c r="I768" i="6"/>
  <c r="H768" i="6"/>
  <c r="G768" i="6"/>
  <c r="M767" i="6"/>
  <c r="L767" i="6"/>
  <c r="K767" i="6"/>
  <c r="J767" i="6"/>
  <c r="I767" i="6"/>
  <c r="H767" i="6"/>
  <c r="G767" i="6"/>
  <c r="M766" i="6"/>
  <c r="L766" i="6"/>
  <c r="K766" i="6"/>
  <c r="J766" i="6"/>
  <c r="I766" i="6"/>
  <c r="H766" i="6"/>
  <c r="G766" i="6"/>
  <c r="M765" i="6"/>
  <c r="L765" i="6"/>
  <c r="K765" i="6"/>
  <c r="J765" i="6"/>
  <c r="I765" i="6"/>
  <c r="H765" i="6"/>
  <c r="G765" i="6"/>
  <c r="M764" i="6"/>
  <c r="L764" i="6"/>
  <c r="K764" i="6"/>
  <c r="J764" i="6"/>
  <c r="I764" i="6"/>
  <c r="H764" i="6"/>
  <c r="G764" i="6"/>
  <c r="M763" i="6"/>
  <c r="L763" i="6"/>
  <c r="K763" i="6"/>
  <c r="J763" i="6"/>
  <c r="I763" i="6"/>
  <c r="H763" i="6"/>
  <c r="G763" i="6"/>
  <c r="M762" i="6"/>
  <c r="L762" i="6"/>
  <c r="K762" i="6"/>
  <c r="J762" i="6"/>
  <c r="I762" i="6"/>
  <c r="H762" i="6"/>
  <c r="G762" i="6"/>
  <c r="M761" i="6"/>
  <c r="L761" i="6"/>
  <c r="K761" i="6"/>
  <c r="J761" i="6"/>
  <c r="I761" i="6"/>
  <c r="H761" i="6"/>
  <c r="G761" i="6"/>
  <c r="M760" i="6"/>
  <c r="L760" i="6"/>
  <c r="K760" i="6"/>
  <c r="J760" i="6"/>
  <c r="I760" i="6"/>
  <c r="H760" i="6"/>
  <c r="G760" i="6"/>
  <c r="M759" i="6"/>
  <c r="L759" i="6"/>
  <c r="K759" i="6"/>
  <c r="J759" i="6"/>
  <c r="I759" i="6"/>
  <c r="H759" i="6"/>
  <c r="G759" i="6"/>
  <c r="M758" i="6"/>
  <c r="L758" i="6"/>
  <c r="K758" i="6"/>
  <c r="J758" i="6"/>
  <c r="I758" i="6"/>
  <c r="H758" i="6"/>
  <c r="G758" i="6"/>
  <c r="M757" i="6"/>
  <c r="L757" i="6"/>
  <c r="K757" i="6"/>
  <c r="J757" i="6"/>
  <c r="I757" i="6"/>
  <c r="H757" i="6"/>
  <c r="G757" i="6"/>
  <c r="M756" i="6"/>
  <c r="L756" i="6"/>
  <c r="K756" i="6"/>
  <c r="J756" i="6"/>
  <c r="I756" i="6"/>
  <c r="H756" i="6"/>
  <c r="G756" i="6"/>
  <c r="M755" i="6"/>
  <c r="L755" i="6"/>
  <c r="K755" i="6"/>
  <c r="J755" i="6"/>
  <c r="I755" i="6"/>
  <c r="H755" i="6"/>
  <c r="G755" i="6"/>
  <c r="M754" i="6"/>
  <c r="L754" i="6"/>
  <c r="K754" i="6"/>
  <c r="J754" i="6"/>
  <c r="I754" i="6"/>
  <c r="H754" i="6"/>
  <c r="G754" i="6"/>
  <c r="M753" i="6"/>
  <c r="L753" i="6"/>
  <c r="K753" i="6"/>
  <c r="J753" i="6"/>
  <c r="I753" i="6"/>
  <c r="H753" i="6"/>
  <c r="G753" i="6"/>
  <c r="M752" i="6"/>
  <c r="L752" i="6"/>
  <c r="K752" i="6"/>
  <c r="J752" i="6"/>
  <c r="I752" i="6"/>
  <c r="H752" i="6"/>
  <c r="G752" i="6"/>
  <c r="M751" i="6"/>
  <c r="L751" i="6"/>
  <c r="K751" i="6"/>
  <c r="J751" i="6"/>
  <c r="I751" i="6"/>
  <c r="H751" i="6"/>
  <c r="G751" i="6"/>
  <c r="M750" i="6"/>
  <c r="L750" i="6"/>
  <c r="K750" i="6"/>
  <c r="J750" i="6"/>
  <c r="I750" i="6"/>
  <c r="H750" i="6"/>
  <c r="G750" i="6"/>
  <c r="M749" i="6"/>
  <c r="L749" i="6"/>
  <c r="K749" i="6"/>
  <c r="J749" i="6"/>
  <c r="I749" i="6"/>
  <c r="H749" i="6"/>
  <c r="G749" i="6"/>
  <c r="M748" i="6"/>
  <c r="L748" i="6"/>
  <c r="K748" i="6"/>
  <c r="J748" i="6"/>
  <c r="I748" i="6"/>
  <c r="H748" i="6"/>
  <c r="G748" i="6"/>
  <c r="M747" i="6"/>
  <c r="L747" i="6"/>
  <c r="K747" i="6"/>
  <c r="J747" i="6"/>
  <c r="I747" i="6"/>
  <c r="H747" i="6"/>
  <c r="G747" i="6"/>
  <c r="M746" i="6"/>
  <c r="L746" i="6"/>
  <c r="K746" i="6"/>
  <c r="J746" i="6"/>
  <c r="I746" i="6"/>
  <c r="H746" i="6"/>
  <c r="G746" i="6"/>
  <c r="M745" i="6"/>
  <c r="L745" i="6"/>
  <c r="K745" i="6"/>
  <c r="J745" i="6"/>
  <c r="I745" i="6"/>
  <c r="H745" i="6"/>
  <c r="G745" i="6"/>
  <c r="M744" i="6"/>
  <c r="L744" i="6"/>
  <c r="K744" i="6"/>
  <c r="J744" i="6"/>
  <c r="I744" i="6"/>
  <c r="H744" i="6"/>
  <c r="G744" i="6"/>
  <c r="M743" i="6"/>
  <c r="L743" i="6"/>
  <c r="K743" i="6"/>
  <c r="J743" i="6"/>
  <c r="I743" i="6"/>
  <c r="H743" i="6"/>
  <c r="G743" i="6"/>
  <c r="M742" i="6"/>
  <c r="L742" i="6"/>
  <c r="K742" i="6"/>
  <c r="J742" i="6"/>
  <c r="I742" i="6"/>
  <c r="H742" i="6"/>
  <c r="G742" i="6"/>
  <c r="M741" i="6"/>
  <c r="L741" i="6"/>
  <c r="K741" i="6"/>
  <c r="J741" i="6"/>
  <c r="I741" i="6"/>
  <c r="H741" i="6"/>
  <c r="G741" i="6"/>
  <c r="M740" i="6"/>
  <c r="L740" i="6"/>
  <c r="K740" i="6"/>
  <c r="J740" i="6"/>
  <c r="I740" i="6"/>
  <c r="H740" i="6"/>
  <c r="G740" i="6"/>
  <c r="M739" i="6"/>
  <c r="L739" i="6"/>
  <c r="K739" i="6"/>
  <c r="J739" i="6"/>
  <c r="I739" i="6"/>
  <c r="H739" i="6"/>
  <c r="G739" i="6"/>
  <c r="M738" i="6"/>
  <c r="L738" i="6"/>
  <c r="K738" i="6"/>
  <c r="J738" i="6"/>
  <c r="I738" i="6"/>
  <c r="H738" i="6"/>
  <c r="G738" i="6"/>
  <c r="M737" i="6"/>
  <c r="L737" i="6"/>
  <c r="K737" i="6"/>
  <c r="J737" i="6"/>
  <c r="I737" i="6"/>
  <c r="H737" i="6"/>
  <c r="G737" i="6"/>
  <c r="M736" i="6"/>
  <c r="L736" i="6"/>
  <c r="K736" i="6"/>
  <c r="J736" i="6"/>
  <c r="I736" i="6"/>
  <c r="H736" i="6"/>
  <c r="G736" i="6"/>
  <c r="M735" i="6"/>
  <c r="L735" i="6"/>
  <c r="K735" i="6"/>
  <c r="J735" i="6"/>
  <c r="I735" i="6"/>
  <c r="H735" i="6"/>
  <c r="G735" i="6"/>
  <c r="M734" i="6"/>
  <c r="L734" i="6"/>
  <c r="K734" i="6"/>
  <c r="J734" i="6"/>
  <c r="I734" i="6"/>
  <c r="H734" i="6"/>
  <c r="G734" i="6"/>
  <c r="M733" i="6"/>
  <c r="L733" i="6"/>
  <c r="K733" i="6"/>
  <c r="J733" i="6"/>
  <c r="I733" i="6"/>
  <c r="H733" i="6"/>
  <c r="G733" i="6"/>
  <c r="M732" i="6"/>
  <c r="L732" i="6"/>
  <c r="K732" i="6"/>
  <c r="J732" i="6"/>
  <c r="I732" i="6"/>
  <c r="H732" i="6"/>
  <c r="G732" i="6"/>
  <c r="M731" i="6"/>
  <c r="L731" i="6"/>
  <c r="K731" i="6"/>
  <c r="J731" i="6"/>
  <c r="I731" i="6"/>
  <c r="H731" i="6"/>
  <c r="G731" i="6"/>
  <c r="M730" i="6"/>
  <c r="L730" i="6"/>
  <c r="K730" i="6"/>
  <c r="J730" i="6"/>
  <c r="I730" i="6"/>
  <c r="H730" i="6"/>
  <c r="G730" i="6"/>
  <c r="M729" i="6"/>
  <c r="L729" i="6"/>
  <c r="K729" i="6"/>
  <c r="J729" i="6"/>
  <c r="I729" i="6"/>
  <c r="H729" i="6"/>
  <c r="G729" i="6"/>
  <c r="M728" i="6"/>
  <c r="L728" i="6"/>
  <c r="K728" i="6"/>
  <c r="J728" i="6"/>
  <c r="I728" i="6"/>
  <c r="H728" i="6"/>
  <c r="G728" i="6"/>
  <c r="M727" i="6"/>
  <c r="L727" i="6"/>
  <c r="K727" i="6"/>
  <c r="J727" i="6"/>
  <c r="I727" i="6"/>
  <c r="H727" i="6"/>
  <c r="G727" i="6"/>
  <c r="M726" i="6"/>
  <c r="L726" i="6"/>
  <c r="K726" i="6"/>
  <c r="J726" i="6"/>
  <c r="I726" i="6"/>
  <c r="H726" i="6"/>
  <c r="G726" i="6"/>
  <c r="M725" i="6"/>
  <c r="L725" i="6"/>
  <c r="K725" i="6"/>
  <c r="J725" i="6"/>
  <c r="I725" i="6"/>
  <c r="H725" i="6"/>
  <c r="G725" i="6"/>
  <c r="M724" i="6"/>
  <c r="L724" i="6"/>
  <c r="K724" i="6"/>
  <c r="J724" i="6"/>
  <c r="I724" i="6"/>
  <c r="H724" i="6"/>
  <c r="G724" i="6"/>
  <c r="M723" i="6"/>
  <c r="L723" i="6"/>
  <c r="K723" i="6"/>
  <c r="J723" i="6"/>
  <c r="I723" i="6"/>
  <c r="H723" i="6"/>
  <c r="G723" i="6"/>
  <c r="M722" i="6"/>
  <c r="L722" i="6"/>
  <c r="K722" i="6"/>
  <c r="J722" i="6"/>
  <c r="I722" i="6"/>
  <c r="H722" i="6"/>
  <c r="G722" i="6"/>
  <c r="M721" i="6"/>
  <c r="L721" i="6"/>
  <c r="K721" i="6"/>
  <c r="J721" i="6"/>
  <c r="I721" i="6"/>
  <c r="H721" i="6"/>
  <c r="G721" i="6"/>
  <c r="M720" i="6"/>
  <c r="L720" i="6"/>
  <c r="K720" i="6"/>
  <c r="J720" i="6"/>
  <c r="I720" i="6"/>
  <c r="H720" i="6"/>
  <c r="G720" i="6"/>
  <c r="M719" i="6"/>
  <c r="L719" i="6"/>
  <c r="K719" i="6"/>
  <c r="J719" i="6"/>
  <c r="I719" i="6"/>
  <c r="H719" i="6"/>
  <c r="G719" i="6"/>
  <c r="M718" i="6"/>
  <c r="L718" i="6"/>
  <c r="K718" i="6"/>
  <c r="J718" i="6"/>
  <c r="I718" i="6"/>
  <c r="H718" i="6"/>
  <c r="G718" i="6"/>
  <c r="M717" i="6"/>
  <c r="L717" i="6"/>
  <c r="K717" i="6"/>
  <c r="J717" i="6"/>
  <c r="I717" i="6"/>
  <c r="H717" i="6"/>
  <c r="G717" i="6"/>
  <c r="M716" i="6"/>
  <c r="L716" i="6"/>
  <c r="K716" i="6"/>
  <c r="J716" i="6"/>
  <c r="I716" i="6"/>
  <c r="H716" i="6"/>
  <c r="G716" i="6"/>
  <c r="M715" i="6"/>
  <c r="L715" i="6"/>
  <c r="K715" i="6"/>
  <c r="J715" i="6"/>
  <c r="I715" i="6"/>
  <c r="H715" i="6"/>
  <c r="G715" i="6"/>
  <c r="M714" i="6"/>
  <c r="L714" i="6"/>
  <c r="K714" i="6"/>
  <c r="J714" i="6"/>
  <c r="I714" i="6"/>
  <c r="H714" i="6"/>
  <c r="G714" i="6"/>
  <c r="M713" i="6"/>
  <c r="L713" i="6"/>
  <c r="K713" i="6"/>
  <c r="J713" i="6"/>
  <c r="I713" i="6"/>
  <c r="H713" i="6"/>
  <c r="G713" i="6"/>
  <c r="M712" i="6"/>
  <c r="L712" i="6"/>
  <c r="K712" i="6"/>
  <c r="J712" i="6"/>
  <c r="I712" i="6"/>
  <c r="H712" i="6"/>
  <c r="G712" i="6"/>
  <c r="M711" i="6"/>
  <c r="L711" i="6"/>
  <c r="K711" i="6"/>
  <c r="J711" i="6"/>
  <c r="I711" i="6"/>
  <c r="H711" i="6"/>
  <c r="G711" i="6"/>
  <c r="M710" i="6"/>
  <c r="L710" i="6"/>
  <c r="K710" i="6"/>
  <c r="J710" i="6"/>
  <c r="I710" i="6"/>
  <c r="H710" i="6"/>
  <c r="G710" i="6"/>
  <c r="M709" i="6"/>
  <c r="L709" i="6"/>
  <c r="K709" i="6"/>
  <c r="J709" i="6"/>
  <c r="I709" i="6"/>
  <c r="H709" i="6"/>
  <c r="G709" i="6"/>
  <c r="M708" i="6"/>
  <c r="L708" i="6"/>
  <c r="K708" i="6"/>
  <c r="J708" i="6"/>
  <c r="I708" i="6"/>
  <c r="H708" i="6"/>
  <c r="G708" i="6"/>
  <c r="M707" i="6"/>
  <c r="L707" i="6"/>
  <c r="K707" i="6"/>
  <c r="J707" i="6"/>
  <c r="I707" i="6"/>
  <c r="H707" i="6"/>
  <c r="G707" i="6"/>
  <c r="M706" i="6"/>
  <c r="L706" i="6"/>
  <c r="K706" i="6"/>
  <c r="J706" i="6"/>
  <c r="I706" i="6"/>
  <c r="H706" i="6"/>
  <c r="G706" i="6"/>
  <c r="M705" i="6"/>
  <c r="L705" i="6"/>
  <c r="K705" i="6"/>
  <c r="J705" i="6"/>
  <c r="I705" i="6"/>
  <c r="H705" i="6"/>
  <c r="G705" i="6"/>
  <c r="M704" i="6"/>
  <c r="L704" i="6"/>
  <c r="K704" i="6"/>
  <c r="J704" i="6"/>
  <c r="I704" i="6"/>
  <c r="H704" i="6"/>
  <c r="G704" i="6"/>
  <c r="M703" i="6"/>
  <c r="L703" i="6"/>
  <c r="K703" i="6"/>
  <c r="J703" i="6"/>
  <c r="I703" i="6"/>
  <c r="H703" i="6"/>
  <c r="G703" i="6"/>
  <c r="M702" i="6"/>
  <c r="L702" i="6"/>
  <c r="K702" i="6"/>
  <c r="J702" i="6"/>
  <c r="I702" i="6"/>
  <c r="H702" i="6"/>
  <c r="G702" i="6"/>
  <c r="M701" i="6"/>
  <c r="L701" i="6"/>
  <c r="K701" i="6"/>
  <c r="J701" i="6"/>
  <c r="I701" i="6"/>
  <c r="H701" i="6"/>
  <c r="G701" i="6"/>
  <c r="M700" i="6"/>
  <c r="L700" i="6"/>
  <c r="K700" i="6"/>
  <c r="J700" i="6"/>
  <c r="I700" i="6"/>
  <c r="H700" i="6"/>
  <c r="G700" i="6"/>
  <c r="M699" i="6"/>
  <c r="L699" i="6"/>
  <c r="K699" i="6"/>
  <c r="J699" i="6"/>
  <c r="I699" i="6"/>
  <c r="H699" i="6"/>
  <c r="G699" i="6"/>
  <c r="M698" i="6"/>
  <c r="L698" i="6"/>
  <c r="K698" i="6"/>
  <c r="J698" i="6"/>
  <c r="I698" i="6"/>
  <c r="H698" i="6"/>
  <c r="G698" i="6"/>
  <c r="M697" i="6"/>
  <c r="L697" i="6"/>
  <c r="K697" i="6"/>
  <c r="J697" i="6"/>
  <c r="I697" i="6"/>
  <c r="H697" i="6"/>
  <c r="G697" i="6"/>
  <c r="M696" i="6"/>
  <c r="L696" i="6"/>
  <c r="K696" i="6"/>
  <c r="J696" i="6"/>
  <c r="I696" i="6"/>
  <c r="H696" i="6"/>
  <c r="G696" i="6"/>
  <c r="M695" i="6"/>
  <c r="L695" i="6"/>
  <c r="K695" i="6"/>
  <c r="J695" i="6"/>
  <c r="I695" i="6"/>
  <c r="H695" i="6"/>
  <c r="G695" i="6"/>
  <c r="M694" i="6"/>
  <c r="L694" i="6"/>
  <c r="K694" i="6"/>
  <c r="J694" i="6"/>
  <c r="I694" i="6"/>
  <c r="H694" i="6"/>
  <c r="G694" i="6"/>
  <c r="M693" i="6"/>
  <c r="L693" i="6"/>
  <c r="K693" i="6"/>
  <c r="J693" i="6"/>
  <c r="I693" i="6"/>
  <c r="H693" i="6"/>
  <c r="G693" i="6"/>
  <c r="M692" i="6"/>
  <c r="L692" i="6"/>
  <c r="K692" i="6"/>
  <c r="J692" i="6"/>
  <c r="I692" i="6"/>
  <c r="H692" i="6"/>
  <c r="G692" i="6"/>
  <c r="M691" i="6"/>
  <c r="L691" i="6"/>
  <c r="K691" i="6"/>
  <c r="J691" i="6"/>
  <c r="I691" i="6"/>
  <c r="H691" i="6"/>
  <c r="G691" i="6"/>
  <c r="M690" i="6"/>
  <c r="L690" i="6"/>
  <c r="K690" i="6"/>
  <c r="J690" i="6"/>
  <c r="I690" i="6"/>
  <c r="H690" i="6"/>
  <c r="G690" i="6"/>
  <c r="M689" i="6"/>
  <c r="L689" i="6"/>
  <c r="K689" i="6"/>
  <c r="J689" i="6"/>
  <c r="I689" i="6"/>
  <c r="H689" i="6"/>
  <c r="G689" i="6"/>
  <c r="M688" i="6"/>
  <c r="L688" i="6"/>
  <c r="K688" i="6"/>
  <c r="J688" i="6"/>
  <c r="I688" i="6"/>
  <c r="H688" i="6"/>
  <c r="G688" i="6"/>
  <c r="M687" i="6"/>
  <c r="L687" i="6"/>
  <c r="K687" i="6"/>
  <c r="J687" i="6"/>
  <c r="I687" i="6"/>
  <c r="H687" i="6"/>
  <c r="G687" i="6"/>
  <c r="M686" i="6"/>
  <c r="L686" i="6"/>
  <c r="K686" i="6"/>
  <c r="J686" i="6"/>
  <c r="I686" i="6"/>
  <c r="H686" i="6"/>
  <c r="G686" i="6"/>
  <c r="M685" i="6"/>
  <c r="L685" i="6"/>
  <c r="K685" i="6"/>
  <c r="J685" i="6"/>
  <c r="I685" i="6"/>
  <c r="H685" i="6"/>
  <c r="G685" i="6"/>
  <c r="M684" i="6"/>
  <c r="L684" i="6"/>
  <c r="K684" i="6"/>
  <c r="J684" i="6"/>
  <c r="I684" i="6"/>
  <c r="H684" i="6"/>
  <c r="G684" i="6"/>
  <c r="M683" i="6"/>
  <c r="L683" i="6"/>
  <c r="K683" i="6"/>
  <c r="J683" i="6"/>
  <c r="I683" i="6"/>
  <c r="H683" i="6"/>
  <c r="G683" i="6"/>
  <c r="M682" i="6"/>
  <c r="L682" i="6"/>
  <c r="K682" i="6"/>
  <c r="J682" i="6"/>
  <c r="I682" i="6"/>
  <c r="H682" i="6"/>
  <c r="G682" i="6"/>
  <c r="M681" i="6"/>
  <c r="L681" i="6"/>
  <c r="K681" i="6"/>
  <c r="J681" i="6"/>
  <c r="I681" i="6"/>
  <c r="H681" i="6"/>
  <c r="G681" i="6"/>
  <c r="M680" i="6"/>
  <c r="L680" i="6"/>
  <c r="K680" i="6"/>
  <c r="J680" i="6"/>
  <c r="I680" i="6"/>
  <c r="H680" i="6"/>
  <c r="G680" i="6"/>
  <c r="M679" i="6"/>
  <c r="L679" i="6"/>
  <c r="K679" i="6"/>
  <c r="J679" i="6"/>
  <c r="I679" i="6"/>
  <c r="H679" i="6"/>
  <c r="G679" i="6"/>
  <c r="M678" i="6"/>
  <c r="L678" i="6"/>
  <c r="K678" i="6"/>
  <c r="J678" i="6"/>
  <c r="I678" i="6"/>
  <c r="H678" i="6"/>
  <c r="G678" i="6"/>
  <c r="M677" i="6"/>
  <c r="L677" i="6"/>
  <c r="K677" i="6"/>
  <c r="J677" i="6"/>
  <c r="I677" i="6"/>
  <c r="H677" i="6"/>
  <c r="G677" i="6"/>
  <c r="M676" i="6"/>
  <c r="L676" i="6"/>
  <c r="K676" i="6"/>
  <c r="J676" i="6"/>
  <c r="I676" i="6"/>
  <c r="H676" i="6"/>
  <c r="G676" i="6"/>
  <c r="M675" i="6"/>
  <c r="L675" i="6"/>
  <c r="K675" i="6"/>
  <c r="J675" i="6"/>
  <c r="I675" i="6"/>
  <c r="H675" i="6"/>
  <c r="G675" i="6"/>
  <c r="M674" i="6"/>
  <c r="L674" i="6"/>
  <c r="K674" i="6"/>
  <c r="J674" i="6"/>
  <c r="I674" i="6"/>
  <c r="H674" i="6"/>
  <c r="G674" i="6"/>
  <c r="M673" i="6"/>
  <c r="L673" i="6"/>
  <c r="K673" i="6"/>
  <c r="J673" i="6"/>
  <c r="I673" i="6"/>
  <c r="H673" i="6"/>
  <c r="G673" i="6"/>
  <c r="M672" i="6"/>
  <c r="L672" i="6"/>
  <c r="K672" i="6"/>
  <c r="J672" i="6"/>
  <c r="I672" i="6"/>
  <c r="H672" i="6"/>
  <c r="G672" i="6"/>
  <c r="M671" i="6"/>
  <c r="L671" i="6"/>
  <c r="K671" i="6"/>
  <c r="J671" i="6"/>
  <c r="I671" i="6"/>
  <c r="H671" i="6"/>
  <c r="G671" i="6"/>
  <c r="M670" i="6"/>
  <c r="L670" i="6"/>
  <c r="K670" i="6"/>
  <c r="J670" i="6"/>
  <c r="I670" i="6"/>
  <c r="H670" i="6"/>
  <c r="G670" i="6"/>
  <c r="M669" i="6"/>
  <c r="L669" i="6"/>
  <c r="K669" i="6"/>
  <c r="J669" i="6"/>
  <c r="I669" i="6"/>
  <c r="H669" i="6"/>
  <c r="G669" i="6"/>
  <c r="M668" i="6"/>
  <c r="L668" i="6"/>
  <c r="K668" i="6"/>
  <c r="J668" i="6"/>
  <c r="I668" i="6"/>
  <c r="H668" i="6"/>
  <c r="G668" i="6"/>
  <c r="M667" i="6"/>
  <c r="L667" i="6"/>
  <c r="K667" i="6"/>
  <c r="J667" i="6"/>
  <c r="I667" i="6"/>
  <c r="H667" i="6"/>
  <c r="G667" i="6"/>
  <c r="M666" i="6"/>
  <c r="L666" i="6"/>
  <c r="K666" i="6"/>
  <c r="J666" i="6"/>
  <c r="I666" i="6"/>
  <c r="H666" i="6"/>
  <c r="G666" i="6"/>
  <c r="M665" i="6"/>
  <c r="L665" i="6"/>
  <c r="K665" i="6"/>
  <c r="J665" i="6"/>
  <c r="I665" i="6"/>
  <c r="H665" i="6"/>
  <c r="G665" i="6"/>
  <c r="M664" i="6"/>
  <c r="L664" i="6"/>
  <c r="K664" i="6"/>
  <c r="J664" i="6"/>
  <c r="I664" i="6"/>
  <c r="H664" i="6"/>
  <c r="G664" i="6"/>
  <c r="M663" i="6"/>
  <c r="L663" i="6"/>
  <c r="K663" i="6"/>
  <c r="J663" i="6"/>
  <c r="I663" i="6"/>
  <c r="H663" i="6"/>
  <c r="G663" i="6"/>
  <c r="M662" i="6"/>
  <c r="L662" i="6"/>
  <c r="K662" i="6"/>
  <c r="J662" i="6"/>
  <c r="I662" i="6"/>
  <c r="H662" i="6"/>
  <c r="G662" i="6"/>
  <c r="M661" i="6"/>
  <c r="L661" i="6"/>
  <c r="K661" i="6"/>
  <c r="J661" i="6"/>
  <c r="I661" i="6"/>
  <c r="H661" i="6"/>
  <c r="G661" i="6"/>
  <c r="M660" i="6"/>
  <c r="L660" i="6"/>
  <c r="K660" i="6"/>
  <c r="J660" i="6"/>
  <c r="I660" i="6"/>
  <c r="H660" i="6"/>
  <c r="G660" i="6"/>
  <c r="M659" i="6"/>
  <c r="L659" i="6"/>
  <c r="K659" i="6"/>
  <c r="J659" i="6"/>
  <c r="I659" i="6"/>
  <c r="H659" i="6"/>
  <c r="G659" i="6"/>
  <c r="M658" i="6"/>
  <c r="L658" i="6"/>
  <c r="K658" i="6"/>
  <c r="J658" i="6"/>
  <c r="I658" i="6"/>
  <c r="H658" i="6"/>
  <c r="G658" i="6"/>
  <c r="M657" i="6"/>
  <c r="L657" i="6"/>
  <c r="K657" i="6"/>
  <c r="J657" i="6"/>
  <c r="I657" i="6"/>
  <c r="H657" i="6"/>
  <c r="G657" i="6"/>
  <c r="M656" i="6"/>
  <c r="L656" i="6"/>
  <c r="K656" i="6"/>
  <c r="J656" i="6"/>
  <c r="I656" i="6"/>
  <c r="H656" i="6"/>
  <c r="G656" i="6"/>
  <c r="M655" i="6"/>
  <c r="L655" i="6"/>
  <c r="K655" i="6"/>
  <c r="J655" i="6"/>
  <c r="I655" i="6"/>
  <c r="H655" i="6"/>
  <c r="G655" i="6"/>
  <c r="M654" i="6"/>
  <c r="L654" i="6"/>
  <c r="K654" i="6"/>
  <c r="J654" i="6"/>
  <c r="I654" i="6"/>
  <c r="H654" i="6"/>
  <c r="G654" i="6"/>
  <c r="M653" i="6"/>
  <c r="L653" i="6"/>
  <c r="K653" i="6"/>
  <c r="J653" i="6"/>
  <c r="I653" i="6"/>
  <c r="H653" i="6"/>
  <c r="G653" i="6"/>
  <c r="M652" i="6"/>
  <c r="L652" i="6"/>
  <c r="K652" i="6"/>
  <c r="J652" i="6"/>
  <c r="I652" i="6"/>
  <c r="H652" i="6"/>
  <c r="G652" i="6"/>
  <c r="M651" i="6"/>
  <c r="L651" i="6"/>
  <c r="K651" i="6"/>
  <c r="J651" i="6"/>
  <c r="I651" i="6"/>
  <c r="H651" i="6"/>
  <c r="G651" i="6"/>
  <c r="M650" i="6"/>
  <c r="L650" i="6"/>
  <c r="K650" i="6"/>
  <c r="J650" i="6"/>
  <c r="I650" i="6"/>
  <c r="H650" i="6"/>
  <c r="G650" i="6"/>
  <c r="M649" i="6"/>
  <c r="L649" i="6"/>
  <c r="K649" i="6"/>
  <c r="J649" i="6"/>
  <c r="I649" i="6"/>
  <c r="H649" i="6"/>
  <c r="G649" i="6"/>
  <c r="M648" i="6"/>
  <c r="L648" i="6"/>
  <c r="K648" i="6"/>
  <c r="J648" i="6"/>
  <c r="I648" i="6"/>
  <c r="H648" i="6"/>
  <c r="G648" i="6"/>
  <c r="M647" i="6"/>
  <c r="L647" i="6"/>
  <c r="K647" i="6"/>
  <c r="J647" i="6"/>
  <c r="I647" i="6"/>
  <c r="H647" i="6"/>
  <c r="G647" i="6"/>
  <c r="M646" i="6"/>
  <c r="L646" i="6"/>
  <c r="K646" i="6"/>
  <c r="J646" i="6"/>
  <c r="I646" i="6"/>
  <c r="H646" i="6"/>
  <c r="G646" i="6"/>
  <c r="M645" i="6"/>
  <c r="L645" i="6"/>
  <c r="K645" i="6"/>
  <c r="J645" i="6"/>
  <c r="I645" i="6"/>
  <c r="H645" i="6"/>
  <c r="G645" i="6"/>
  <c r="M644" i="6"/>
  <c r="L644" i="6"/>
  <c r="K644" i="6"/>
  <c r="J644" i="6"/>
  <c r="I644" i="6"/>
  <c r="H644" i="6"/>
  <c r="G644" i="6"/>
  <c r="M643" i="6"/>
  <c r="L643" i="6"/>
  <c r="K643" i="6"/>
  <c r="J643" i="6"/>
  <c r="I643" i="6"/>
  <c r="H643" i="6"/>
  <c r="G643" i="6"/>
  <c r="M642" i="6"/>
  <c r="L642" i="6"/>
  <c r="K642" i="6"/>
  <c r="J642" i="6"/>
  <c r="I642" i="6"/>
  <c r="H642" i="6"/>
  <c r="G642" i="6"/>
  <c r="M641" i="6"/>
  <c r="L641" i="6"/>
  <c r="K641" i="6"/>
  <c r="J641" i="6"/>
  <c r="I641" i="6"/>
  <c r="H641" i="6"/>
  <c r="G641" i="6"/>
  <c r="M640" i="6"/>
  <c r="L640" i="6"/>
  <c r="K640" i="6"/>
  <c r="J640" i="6"/>
  <c r="I640" i="6"/>
  <c r="H640" i="6"/>
  <c r="G640" i="6"/>
  <c r="M639" i="6"/>
  <c r="L639" i="6"/>
  <c r="K639" i="6"/>
  <c r="J639" i="6"/>
  <c r="I639" i="6"/>
  <c r="H639" i="6"/>
  <c r="G639" i="6"/>
  <c r="M638" i="6"/>
  <c r="L638" i="6"/>
  <c r="K638" i="6"/>
  <c r="J638" i="6"/>
  <c r="I638" i="6"/>
  <c r="H638" i="6"/>
  <c r="G638" i="6"/>
  <c r="M637" i="6"/>
  <c r="L637" i="6"/>
  <c r="K637" i="6"/>
  <c r="J637" i="6"/>
  <c r="I637" i="6"/>
  <c r="H637" i="6"/>
  <c r="G637" i="6"/>
  <c r="M636" i="6"/>
  <c r="L636" i="6"/>
  <c r="K636" i="6"/>
  <c r="J636" i="6"/>
  <c r="I636" i="6"/>
  <c r="H636" i="6"/>
  <c r="G636" i="6"/>
  <c r="M635" i="6"/>
  <c r="L635" i="6"/>
  <c r="K635" i="6"/>
  <c r="J635" i="6"/>
  <c r="I635" i="6"/>
  <c r="H635" i="6"/>
  <c r="G635" i="6"/>
  <c r="M634" i="6"/>
  <c r="L634" i="6"/>
  <c r="K634" i="6"/>
  <c r="J634" i="6"/>
  <c r="I634" i="6"/>
  <c r="H634" i="6"/>
  <c r="G634" i="6"/>
  <c r="M633" i="6"/>
  <c r="L633" i="6"/>
  <c r="K633" i="6"/>
  <c r="J633" i="6"/>
  <c r="I633" i="6"/>
  <c r="H633" i="6"/>
  <c r="G633" i="6"/>
  <c r="M632" i="6"/>
  <c r="L632" i="6"/>
  <c r="K632" i="6"/>
  <c r="J632" i="6"/>
  <c r="I632" i="6"/>
  <c r="H632" i="6"/>
  <c r="G632" i="6"/>
  <c r="M631" i="6"/>
  <c r="L631" i="6"/>
  <c r="K631" i="6"/>
  <c r="J631" i="6"/>
  <c r="I631" i="6"/>
  <c r="H631" i="6"/>
  <c r="G631" i="6"/>
  <c r="M630" i="6"/>
  <c r="L630" i="6"/>
  <c r="K630" i="6"/>
  <c r="J630" i="6"/>
  <c r="I630" i="6"/>
  <c r="H630" i="6"/>
  <c r="G630" i="6"/>
  <c r="M629" i="6"/>
  <c r="L629" i="6"/>
  <c r="K629" i="6"/>
  <c r="J629" i="6"/>
  <c r="I629" i="6"/>
  <c r="H629" i="6"/>
  <c r="G629" i="6"/>
  <c r="M628" i="6"/>
  <c r="L628" i="6"/>
  <c r="K628" i="6"/>
  <c r="J628" i="6"/>
  <c r="I628" i="6"/>
  <c r="H628" i="6"/>
  <c r="G628" i="6"/>
  <c r="M627" i="6"/>
  <c r="L627" i="6"/>
  <c r="K627" i="6"/>
  <c r="J627" i="6"/>
  <c r="I627" i="6"/>
  <c r="H627" i="6"/>
  <c r="G627" i="6"/>
  <c r="M626" i="6"/>
  <c r="L626" i="6"/>
  <c r="K626" i="6"/>
  <c r="J626" i="6"/>
  <c r="I626" i="6"/>
  <c r="H626" i="6"/>
  <c r="G626" i="6"/>
  <c r="M625" i="6"/>
  <c r="L625" i="6"/>
  <c r="K625" i="6"/>
  <c r="J625" i="6"/>
  <c r="I625" i="6"/>
  <c r="H625" i="6"/>
  <c r="G625" i="6"/>
  <c r="M624" i="6"/>
  <c r="L624" i="6"/>
  <c r="K624" i="6"/>
  <c r="J624" i="6"/>
  <c r="I624" i="6"/>
  <c r="H624" i="6"/>
  <c r="G624" i="6"/>
  <c r="M623" i="6"/>
  <c r="L623" i="6"/>
  <c r="K623" i="6"/>
  <c r="J623" i="6"/>
  <c r="I623" i="6"/>
  <c r="H623" i="6"/>
  <c r="G623" i="6"/>
  <c r="M622" i="6"/>
  <c r="L622" i="6"/>
  <c r="K622" i="6"/>
  <c r="J622" i="6"/>
  <c r="I622" i="6"/>
  <c r="H622" i="6"/>
  <c r="G622" i="6"/>
  <c r="M621" i="6"/>
  <c r="L621" i="6"/>
  <c r="K621" i="6"/>
  <c r="J621" i="6"/>
  <c r="I621" i="6"/>
  <c r="H621" i="6"/>
  <c r="G621" i="6"/>
  <c r="M620" i="6"/>
  <c r="L620" i="6"/>
  <c r="K620" i="6"/>
  <c r="J620" i="6"/>
  <c r="I620" i="6"/>
  <c r="H620" i="6"/>
  <c r="G620" i="6"/>
  <c r="M619" i="6"/>
  <c r="L619" i="6"/>
  <c r="K619" i="6"/>
  <c r="J619" i="6"/>
  <c r="I619" i="6"/>
  <c r="H619" i="6"/>
  <c r="G619" i="6"/>
  <c r="M618" i="6"/>
  <c r="L618" i="6"/>
  <c r="K618" i="6"/>
  <c r="J618" i="6"/>
  <c r="I618" i="6"/>
  <c r="H618" i="6"/>
  <c r="G618" i="6"/>
  <c r="M617" i="6"/>
  <c r="L617" i="6"/>
  <c r="K617" i="6"/>
  <c r="J617" i="6"/>
  <c r="I617" i="6"/>
  <c r="H617" i="6"/>
  <c r="G617" i="6"/>
  <c r="M616" i="6"/>
  <c r="L616" i="6"/>
  <c r="K616" i="6"/>
  <c r="J616" i="6"/>
  <c r="I616" i="6"/>
  <c r="H616" i="6"/>
  <c r="G616" i="6"/>
  <c r="M615" i="6"/>
  <c r="L615" i="6"/>
  <c r="K615" i="6"/>
  <c r="J615" i="6"/>
  <c r="I615" i="6"/>
  <c r="H615" i="6"/>
  <c r="G615" i="6"/>
  <c r="M614" i="6"/>
  <c r="L614" i="6"/>
  <c r="K614" i="6"/>
  <c r="J614" i="6"/>
  <c r="I614" i="6"/>
  <c r="H614" i="6"/>
  <c r="G614" i="6"/>
  <c r="M613" i="6"/>
  <c r="L613" i="6"/>
  <c r="K613" i="6"/>
  <c r="J613" i="6"/>
  <c r="I613" i="6"/>
  <c r="H613" i="6"/>
  <c r="G613" i="6"/>
  <c r="M612" i="6"/>
  <c r="L612" i="6"/>
  <c r="K612" i="6"/>
  <c r="J612" i="6"/>
  <c r="I612" i="6"/>
  <c r="H612" i="6"/>
  <c r="G612" i="6"/>
  <c r="M611" i="6"/>
  <c r="L611" i="6"/>
  <c r="K611" i="6"/>
  <c r="J611" i="6"/>
  <c r="I611" i="6"/>
  <c r="H611" i="6"/>
  <c r="G611" i="6"/>
  <c r="M610" i="6"/>
  <c r="L610" i="6"/>
  <c r="K610" i="6"/>
  <c r="J610" i="6"/>
  <c r="I610" i="6"/>
  <c r="H610" i="6"/>
  <c r="G610" i="6"/>
  <c r="M609" i="6"/>
  <c r="L609" i="6"/>
  <c r="K609" i="6"/>
  <c r="J609" i="6"/>
  <c r="I609" i="6"/>
  <c r="H609" i="6"/>
  <c r="G609" i="6"/>
  <c r="M608" i="6"/>
  <c r="L608" i="6"/>
  <c r="K608" i="6"/>
  <c r="J608" i="6"/>
  <c r="I608" i="6"/>
  <c r="H608" i="6"/>
  <c r="G608" i="6"/>
  <c r="M607" i="6"/>
  <c r="L607" i="6"/>
  <c r="K607" i="6"/>
  <c r="J607" i="6"/>
  <c r="I607" i="6"/>
  <c r="H607" i="6"/>
  <c r="G607" i="6"/>
  <c r="M606" i="6"/>
  <c r="L606" i="6"/>
  <c r="K606" i="6"/>
  <c r="J606" i="6"/>
  <c r="I606" i="6"/>
  <c r="H606" i="6"/>
  <c r="G606" i="6"/>
  <c r="M605" i="6"/>
  <c r="L605" i="6"/>
  <c r="K605" i="6"/>
  <c r="J605" i="6"/>
  <c r="I605" i="6"/>
  <c r="H605" i="6"/>
  <c r="G605" i="6"/>
  <c r="M604" i="6"/>
  <c r="L604" i="6"/>
  <c r="K604" i="6"/>
  <c r="J604" i="6"/>
  <c r="I604" i="6"/>
  <c r="H604" i="6"/>
  <c r="G604" i="6"/>
  <c r="M603" i="6"/>
  <c r="L603" i="6"/>
  <c r="K603" i="6"/>
  <c r="J603" i="6"/>
  <c r="I603" i="6"/>
  <c r="H603" i="6"/>
  <c r="G603" i="6"/>
  <c r="M602" i="6"/>
  <c r="L602" i="6"/>
  <c r="K602" i="6"/>
  <c r="J602" i="6"/>
  <c r="I602" i="6"/>
  <c r="H602" i="6"/>
  <c r="G602" i="6"/>
  <c r="M601" i="6"/>
  <c r="L601" i="6"/>
  <c r="K601" i="6"/>
  <c r="J601" i="6"/>
  <c r="I601" i="6"/>
  <c r="H601" i="6"/>
  <c r="G601" i="6"/>
  <c r="M600" i="6"/>
  <c r="L600" i="6"/>
  <c r="K600" i="6"/>
  <c r="J600" i="6"/>
  <c r="I600" i="6"/>
  <c r="H600" i="6"/>
  <c r="G600" i="6"/>
  <c r="M599" i="6"/>
  <c r="L599" i="6"/>
  <c r="K599" i="6"/>
  <c r="J599" i="6"/>
  <c r="I599" i="6"/>
  <c r="H599" i="6"/>
  <c r="G599" i="6"/>
  <c r="M598" i="6"/>
  <c r="L598" i="6"/>
  <c r="K598" i="6"/>
  <c r="J598" i="6"/>
  <c r="I598" i="6"/>
  <c r="H598" i="6"/>
  <c r="G598" i="6"/>
  <c r="M597" i="6"/>
  <c r="L597" i="6"/>
  <c r="K597" i="6"/>
  <c r="J597" i="6"/>
  <c r="I597" i="6"/>
  <c r="H597" i="6"/>
  <c r="G597" i="6"/>
  <c r="M596" i="6"/>
  <c r="L596" i="6"/>
  <c r="K596" i="6"/>
  <c r="J596" i="6"/>
  <c r="I596" i="6"/>
  <c r="H596" i="6"/>
  <c r="G596" i="6"/>
  <c r="M595" i="6"/>
  <c r="L595" i="6"/>
  <c r="K595" i="6"/>
  <c r="J595" i="6"/>
  <c r="I595" i="6"/>
  <c r="H595" i="6"/>
  <c r="G595" i="6"/>
  <c r="M594" i="6"/>
  <c r="L594" i="6"/>
  <c r="K594" i="6"/>
  <c r="J594" i="6"/>
  <c r="I594" i="6"/>
  <c r="H594" i="6"/>
  <c r="G594" i="6"/>
  <c r="M593" i="6"/>
  <c r="L593" i="6"/>
  <c r="K593" i="6"/>
  <c r="J593" i="6"/>
  <c r="I593" i="6"/>
  <c r="H593" i="6"/>
  <c r="G593" i="6"/>
  <c r="M592" i="6"/>
  <c r="L592" i="6"/>
  <c r="K592" i="6"/>
  <c r="J592" i="6"/>
  <c r="I592" i="6"/>
  <c r="H592" i="6"/>
  <c r="G592" i="6"/>
  <c r="M591" i="6"/>
  <c r="L591" i="6"/>
  <c r="K591" i="6"/>
  <c r="J591" i="6"/>
  <c r="I591" i="6"/>
  <c r="H591" i="6"/>
  <c r="G591" i="6"/>
  <c r="M590" i="6"/>
  <c r="L590" i="6"/>
  <c r="K590" i="6"/>
  <c r="J590" i="6"/>
  <c r="I590" i="6"/>
  <c r="H590" i="6"/>
  <c r="G590" i="6"/>
  <c r="M589" i="6"/>
  <c r="L589" i="6"/>
  <c r="K589" i="6"/>
  <c r="J589" i="6"/>
  <c r="I589" i="6"/>
  <c r="H589" i="6"/>
  <c r="G589" i="6"/>
  <c r="M588" i="6"/>
  <c r="L588" i="6"/>
  <c r="K588" i="6"/>
  <c r="J588" i="6"/>
  <c r="I588" i="6"/>
  <c r="H588" i="6"/>
  <c r="G588" i="6"/>
  <c r="M587" i="6"/>
  <c r="L587" i="6"/>
  <c r="K587" i="6"/>
  <c r="J587" i="6"/>
  <c r="I587" i="6"/>
  <c r="H587" i="6"/>
  <c r="G587" i="6"/>
  <c r="M586" i="6"/>
  <c r="L586" i="6"/>
  <c r="K586" i="6"/>
  <c r="J586" i="6"/>
  <c r="I586" i="6"/>
  <c r="H586" i="6"/>
  <c r="G586" i="6"/>
  <c r="M585" i="6"/>
  <c r="L585" i="6"/>
  <c r="K585" i="6"/>
  <c r="J585" i="6"/>
  <c r="I585" i="6"/>
  <c r="H585" i="6"/>
  <c r="G585" i="6"/>
  <c r="M584" i="6"/>
  <c r="L584" i="6"/>
  <c r="K584" i="6"/>
  <c r="J584" i="6"/>
  <c r="I584" i="6"/>
  <c r="H584" i="6"/>
  <c r="G584" i="6"/>
  <c r="M583" i="6"/>
  <c r="L583" i="6"/>
  <c r="K583" i="6"/>
  <c r="J583" i="6"/>
  <c r="I583" i="6"/>
  <c r="H583" i="6"/>
  <c r="G583" i="6"/>
  <c r="M582" i="6"/>
  <c r="L582" i="6"/>
  <c r="K582" i="6"/>
  <c r="J582" i="6"/>
  <c r="I582" i="6"/>
  <c r="H582" i="6"/>
  <c r="G582" i="6"/>
  <c r="M581" i="6"/>
  <c r="L581" i="6"/>
  <c r="K581" i="6"/>
  <c r="J581" i="6"/>
  <c r="I581" i="6"/>
  <c r="H581" i="6"/>
  <c r="G581" i="6"/>
  <c r="M580" i="6"/>
  <c r="L580" i="6"/>
  <c r="K580" i="6"/>
  <c r="J580" i="6"/>
  <c r="I580" i="6"/>
  <c r="H580" i="6"/>
  <c r="G580" i="6"/>
  <c r="M579" i="6"/>
  <c r="L579" i="6"/>
  <c r="K579" i="6"/>
  <c r="J579" i="6"/>
  <c r="I579" i="6"/>
  <c r="H579" i="6"/>
  <c r="G579" i="6"/>
  <c r="M578" i="6"/>
  <c r="L578" i="6"/>
  <c r="K578" i="6"/>
  <c r="J578" i="6"/>
  <c r="I578" i="6"/>
  <c r="H578" i="6"/>
  <c r="G578" i="6"/>
  <c r="M577" i="6"/>
  <c r="L577" i="6"/>
  <c r="K577" i="6"/>
  <c r="J577" i="6"/>
  <c r="I577" i="6"/>
  <c r="H577" i="6"/>
  <c r="G577" i="6"/>
  <c r="M576" i="6"/>
  <c r="L576" i="6"/>
  <c r="K576" i="6"/>
  <c r="J576" i="6"/>
  <c r="I576" i="6"/>
  <c r="H576" i="6"/>
  <c r="G576" i="6"/>
  <c r="M575" i="6"/>
  <c r="L575" i="6"/>
  <c r="K575" i="6"/>
  <c r="J575" i="6"/>
  <c r="I575" i="6"/>
  <c r="H575" i="6"/>
  <c r="G575" i="6"/>
  <c r="M574" i="6"/>
  <c r="L574" i="6"/>
  <c r="K574" i="6"/>
  <c r="J574" i="6"/>
  <c r="I574" i="6"/>
  <c r="H574" i="6"/>
  <c r="G574" i="6"/>
  <c r="M573" i="6"/>
  <c r="L573" i="6"/>
  <c r="K573" i="6"/>
  <c r="J573" i="6"/>
  <c r="I573" i="6"/>
  <c r="H573" i="6"/>
  <c r="G573" i="6"/>
  <c r="M572" i="6"/>
  <c r="L572" i="6"/>
  <c r="K572" i="6"/>
  <c r="J572" i="6"/>
  <c r="I572" i="6"/>
  <c r="H572" i="6"/>
  <c r="G572" i="6"/>
  <c r="M571" i="6"/>
  <c r="L571" i="6"/>
  <c r="K571" i="6"/>
  <c r="J571" i="6"/>
  <c r="I571" i="6"/>
  <c r="H571" i="6"/>
  <c r="G571" i="6"/>
  <c r="M570" i="6"/>
  <c r="L570" i="6"/>
  <c r="K570" i="6"/>
  <c r="J570" i="6"/>
  <c r="I570" i="6"/>
  <c r="H570" i="6"/>
  <c r="G570" i="6"/>
  <c r="M569" i="6"/>
  <c r="L569" i="6"/>
  <c r="K569" i="6"/>
  <c r="J569" i="6"/>
  <c r="I569" i="6"/>
  <c r="H569" i="6"/>
  <c r="G569" i="6"/>
  <c r="M568" i="6"/>
  <c r="L568" i="6"/>
  <c r="K568" i="6"/>
  <c r="J568" i="6"/>
  <c r="I568" i="6"/>
  <c r="H568" i="6"/>
  <c r="G568" i="6"/>
  <c r="M567" i="6"/>
  <c r="L567" i="6"/>
  <c r="K567" i="6"/>
  <c r="J567" i="6"/>
  <c r="I567" i="6"/>
  <c r="H567" i="6"/>
  <c r="G567" i="6"/>
  <c r="M566" i="6"/>
  <c r="L566" i="6"/>
  <c r="K566" i="6"/>
  <c r="J566" i="6"/>
  <c r="I566" i="6"/>
  <c r="H566" i="6"/>
  <c r="G566" i="6"/>
  <c r="M565" i="6"/>
  <c r="L565" i="6"/>
  <c r="K565" i="6"/>
  <c r="J565" i="6"/>
  <c r="I565" i="6"/>
  <c r="H565" i="6"/>
  <c r="G565" i="6"/>
  <c r="M564" i="6"/>
  <c r="L564" i="6"/>
  <c r="K564" i="6"/>
  <c r="J564" i="6"/>
  <c r="I564" i="6"/>
  <c r="H564" i="6"/>
  <c r="G564" i="6"/>
  <c r="M563" i="6"/>
  <c r="L563" i="6"/>
  <c r="K563" i="6"/>
  <c r="J563" i="6"/>
  <c r="I563" i="6"/>
  <c r="H563" i="6"/>
  <c r="G563" i="6"/>
  <c r="M562" i="6"/>
  <c r="L562" i="6"/>
  <c r="K562" i="6"/>
  <c r="J562" i="6"/>
  <c r="I562" i="6"/>
  <c r="H562" i="6"/>
  <c r="G562" i="6"/>
  <c r="M561" i="6"/>
  <c r="L561" i="6"/>
  <c r="K561" i="6"/>
  <c r="J561" i="6"/>
  <c r="I561" i="6"/>
  <c r="H561" i="6"/>
  <c r="G561" i="6"/>
  <c r="M560" i="6"/>
  <c r="L560" i="6"/>
  <c r="K560" i="6"/>
  <c r="J560" i="6"/>
  <c r="I560" i="6"/>
  <c r="H560" i="6"/>
  <c r="G560" i="6"/>
  <c r="M559" i="6"/>
  <c r="L559" i="6"/>
  <c r="K559" i="6"/>
  <c r="J559" i="6"/>
  <c r="I559" i="6"/>
  <c r="H559" i="6"/>
  <c r="G559" i="6"/>
  <c r="M558" i="6"/>
  <c r="L558" i="6"/>
  <c r="K558" i="6"/>
  <c r="J558" i="6"/>
  <c r="I558" i="6"/>
  <c r="H558" i="6"/>
  <c r="G558" i="6"/>
  <c r="M557" i="6"/>
  <c r="L557" i="6"/>
  <c r="K557" i="6"/>
  <c r="J557" i="6"/>
  <c r="I557" i="6"/>
  <c r="H557" i="6"/>
  <c r="G557" i="6"/>
  <c r="M556" i="6"/>
  <c r="L556" i="6"/>
  <c r="K556" i="6"/>
  <c r="J556" i="6"/>
  <c r="I556" i="6"/>
  <c r="H556" i="6"/>
  <c r="G556" i="6"/>
  <c r="M555" i="6"/>
  <c r="L555" i="6"/>
  <c r="K555" i="6"/>
  <c r="J555" i="6"/>
  <c r="I555" i="6"/>
  <c r="H555" i="6"/>
  <c r="G555" i="6"/>
  <c r="M554" i="6"/>
  <c r="L554" i="6"/>
  <c r="K554" i="6"/>
  <c r="J554" i="6"/>
  <c r="I554" i="6"/>
  <c r="H554" i="6"/>
  <c r="G554" i="6"/>
  <c r="M553" i="6"/>
  <c r="L553" i="6"/>
  <c r="K553" i="6"/>
  <c r="J553" i="6"/>
  <c r="I553" i="6"/>
  <c r="H553" i="6"/>
  <c r="G553" i="6"/>
  <c r="M552" i="6"/>
  <c r="L552" i="6"/>
  <c r="K552" i="6"/>
  <c r="J552" i="6"/>
  <c r="I552" i="6"/>
  <c r="H552" i="6"/>
  <c r="G552" i="6"/>
  <c r="M551" i="6"/>
  <c r="L551" i="6"/>
  <c r="K551" i="6"/>
  <c r="J551" i="6"/>
  <c r="I551" i="6"/>
  <c r="H551" i="6"/>
  <c r="G551" i="6"/>
  <c r="M550" i="6"/>
  <c r="L550" i="6"/>
  <c r="K550" i="6"/>
  <c r="J550" i="6"/>
  <c r="I550" i="6"/>
  <c r="H550" i="6"/>
  <c r="G550" i="6"/>
  <c r="M549" i="6"/>
  <c r="L549" i="6"/>
  <c r="K549" i="6"/>
  <c r="J549" i="6"/>
  <c r="I549" i="6"/>
  <c r="H549" i="6"/>
  <c r="G549" i="6"/>
  <c r="M548" i="6"/>
  <c r="L548" i="6"/>
  <c r="K548" i="6"/>
  <c r="J548" i="6"/>
  <c r="I548" i="6"/>
  <c r="H548" i="6"/>
  <c r="G548" i="6"/>
  <c r="M547" i="6"/>
  <c r="L547" i="6"/>
  <c r="K547" i="6"/>
  <c r="J547" i="6"/>
  <c r="I547" i="6"/>
  <c r="H547" i="6"/>
  <c r="G547" i="6"/>
  <c r="M546" i="6"/>
  <c r="L546" i="6"/>
  <c r="K546" i="6"/>
  <c r="J546" i="6"/>
  <c r="I546" i="6"/>
  <c r="H546" i="6"/>
  <c r="G546" i="6"/>
  <c r="M545" i="6"/>
  <c r="L545" i="6"/>
  <c r="K545" i="6"/>
  <c r="J545" i="6"/>
  <c r="I545" i="6"/>
  <c r="H545" i="6"/>
  <c r="G545" i="6"/>
  <c r="M544" i="6"/>
  <c r="L544" i="6"/>
  <c r="K544" i="6"/>
  <c r="J544" i="6"/>
  <c r="I544" i="6"/>
  <c r="H544" i="6"/>
  <c r="G544" i="6"/>
  <c r="M543" i="6"/>
  <c r="L543" i="6"/>
  <c r="K543" i="6"/>
  <c r="J543" i="6"/>
  <c r="I543" i="6"/>
  <c r="H543" i="6"/>
  <c r="G543" i="6"/>
  <c r="M542" i="6"/>
  <c r="L542" i="6"/>
  <c r="K542" i="6"/>
  <c r="J542" i="6"/>
  <c r="I542" i="6"/>
  <c r="H542" i="6"/>
  <c r="G542" i="6"/>
  <c r="M541" i="6"/>
  <c r="L541" i="6"/>
  <c r="K541" i="6"/>
  <c r="J541" i="6"/>
  <c r="I541" i="6"/>
  <c r="H541" i="6"/>
  <c r="G541" i="6"/>
  <c r="M540" i="6"/>
  <c r="L540" i="6"/>
  <c r="K540" i="6"/>
  <c r="J540" i="6"/>
  <c r="I540" i="6"/>
  <c r="H540" i="6"/>
  <c r="G540" i="6"/>
  <c r="M539" i="6"/>
  <c r="L539" i="6"/>
  <c r="K539" i="6"/>
  <c r="J539" i="6"/>
  <c r="I539" i="6"/>
  <c r="H539" i="6"/>
  <c r="G539" i="6"/>
  <c r="M538" i="6"/>
  <c r="L538" i="6"/>
  <c r="K538" i="6"/>
  <c r="J538" i="6"/>
  <c r="I538" i="6"/>
  <c r="H538" i="6"/>
  <c r="G538" i="6"/>
  <c r="M537" i="6"/>
  <c r="L537" i="6"/>
  <c r="K537" i="6"/>
  <c r="J537" i="6"/>
  <c r="I537" i="6"/>
  <c r="H537" i="6"/>
  <c r="G537" i="6"/>
  <c r="M536" i="6"/>
  <c r="L536" i="6"/>
  <c r="K536" i="6"/>
  <c r="J536" i="6"/>
  <c r="I536" i="6"/>
  <c r="H536" i="6"/>
  <c r="G536" i="6"/>
  <c r="M535" i="6"/>
  <c r="L535" i="6"/>
  <c r="K535" i="6"/>
  <c r="J535" i="6"/>
  <c r="I535" i="6"/>
  <c r="H535" i="6"/>
  <c r="G535" i="6"/>
  <c r="M534" i="6"/>
  <c r="L534" i="6"/>
  <c r="K534" i="6"/>
  <c r="J534" i="6"/>
  <c r="I534" i="6"/>
  <c r="H534" i="6"/>
  <c r="G534" i="6"/>
  <c r="M533" i="6"/>
  <c r="L533" i="6"/>
  <c r="K533" i="6"/>
  <c r="J533" i="6"/>
  <c r="I533" i="6"/>
  <c r="H533" i="6"/>
  <c r="G533" i="6"/>
  <c r="M532" i="6"/>
  <c r="L532" i="6"/>
  <c r="K532" i="6"/>
  <c r="J532" i="6"/>
  <c r="I532" i="6"/>
  <c r="H532" i="6"/>
  <c r="G532" i="6"/>
  <c r="M531" i="6"/>
  <c r="L531" i="6"/>
  <c r="K531" i="6"/>
  <c r="J531" i="6"/>
  <c r="I531" i="6"/>
  <c r="H531" i="6"/>
  <c r="G531" i="6"/>
  <c r="M530" i="6"/>
  <c r="L530" i="6"/>
  <c r="K530" i="6"/>
  <c r="J530" i="6"/>
  <c r="I530" i="6"/>
  <c r="H530" i="6"/>
  <c r="G530" i="6"/>
  <c r="M529" i="6"/>
  <c r="L529" i="6"/>
  <c r="K529" i="6"/>
  <c r="J529" i="6"/>
  <c r="I529" i="6"/>
  <c r="H529" i="6"/>
  <c r="G529" i="6"/>
  <c r="M528" i="6"/>
  <c r="L528" i="6"/>
  <c r="K528" i="6"/>
  <c r="J528" i="6"/>
  <c r="I528" i="6"/>
  <c r="H528" i="6"/>
  <c r="G528" i="6"/>
  <c r="M527" i="6"/>
  <c r="L527" i="6"/>
  <c r="K527" i="6"/>
  <c r="J527" i="6"/>
  <c r="I527" i="6"/>
  <c r="H527" i="6"/>
  <c r="G527" i="6"/>
  <c r="M526" i="6"/>
  <c r="L526" i="6"/>
  <c r="K526" i="6"/>
  <c r="J526" i="6"/>
  <c r="I526" i="6"/>
  <c r="H526" i="6"/>
  <c r="G526" i="6"/>
  <c r="M525" i="6"/>
  <c r="L525" i="6"/>
  <c r="K525" i="6"/>
  <c r="J525" i="6"/>
  <c r="I525" i="6"/>
  <c r="H525" i="6"/>
  <c r="G525" i="6"/>
  <c r="M524" i="6"/>
  <c r="L524" i="6"/>
  <c r="K524" i="6"/>
  <c r="J524" i="6"/>
  <c r="I524" i="6"/>
  <c r="H524" i="6"/>
  <c r="G524" i="6"/>
  <c r="M523" i="6"/>
  <c r="L523" i="6"/>
  <c r="K523" i="6"/>
  <c r="J523" i="6"/>
  <c r="I523" i="6"/>
  <c r="H523" i="6"/>
  <c r="G523" i="6"/>
  <c r="M522" i="6"/>
  <c r="L522" i="6"/>
  <c r="K522" i="6"/>
  <c r="J522" i="6"/>
  <c r="I522" i="6"/>
  <c r="H522" i="6"/>
  <c r="G522" i="6"/>
  <c r="M521" i="6"/>
  <c r="L521" i="6"/>
  <c r="K521" i="6"/>
  <c r="J521" i="6"/>
  <c r="I521" i="6"/>
  <c r="H521" i="6"/>
  <c r="G521" i="6"/>
  <c r="M520" i="6"/>
  <c r="L520" i="6"/>
  <c r="K520" i="6"/>
  <c r="J520" i="6"/>
  <c r="I520" i="6"/>
  <c r="H520" i="6"/>
  <c r="G520" i="6"/>
  <c r="M519" i="6"/>
  <c r="L519" i="6"/>
  <c r="K519" i="6"/>
  <c r="J519" i="6"/>
  <c r="I519" i="6"/>
  <c r="H519" i="6"/>
  <c r="G519" i="6"/>
  <c r="M518" i="6"/>
  <c r="L518" i="6"/>
  <c r="K518" i="6"/>
  <c r="J518" i="6"/>
  <c r="I518" i="6"/>
  <c r="H518" i="6"/>
  <c r="G518" i="6"/>
  <c r="M517" i="6"/>
  <c r="L517" i="6"/>
  <c r="K517" i="6"/>
  <c r="J517" i="6"/>
  <c r="I517" i="6"/>
  <c r="H517" i="6"/>
  <c r="G517" i="6"/>
  <c r="M516" i="6"/>
  <c r="L516" i="6"/>
  <c r="K516" i="6"/>
  <c r="J516" i="6"/>
  <c r="I516" i="6"/>
  <c r="H516" i="6"/>
  <c r="G516" i="6"/>
  <c r="M515" i="6"/>
  <c r="L515" i="6"/>
  <c r="K515" i="6"/>
  <c r="J515" i="6"/>
  <c r="I515" i="6"/>
  <c r="H515" i="6"/>
  <c r="G515" i="6"/>
  <c r="M514" i="6"/>
  <c r="L514" i="6"/>
  <c r="K514" i="6"/>
  <c r="J514" i="6"/>
  <c r="I514" i="6"/>
  <c r="H514" i="6"/>
  <c r="G514" i="6"/>
  <c r="M513" i="6"/>
  <c r="L513" i="6"/>
  <c r="K513" i="6"/>
  <c r="J513" i="6"/>
  <c r="I513" i="6"/>
  <c r="H513" i="6"/>
  <c r="G513" i="6"/>
  <c r="M512" i="6"/>
  <c r="L512" i="6"/>
  <c r="K512" i="6"/>
  <c r="J512" i="6"/>
  <c r="I512" i="6"/>
  <c r="H512" i="6"/>
  <c r="G512" i="6"/>
  <c r="M511" i="6"/>
  <c r="L511" i="6"/>
  <c r="K511" i="6"/>
  <c r="J511" i="6"/>
  <c r="I511" i="6"/>
  <c r="H511" i="6"/>
  <c r="G511" i="6"/>
  <c r="M510" i="6"/>
  <c r="L510" i="6"/>
  <c r="K510" i="6"/>
  <c r="J510" i="6"/>
  <c r="I510" i="6"/>
  <c r="H510" i="6"/>
  <c r="G510" i="6"/>
  <c r="M509" i="6"/>
  <c r="L509" i="6"/>
  <c r="K509" i="6"/>
  <c r="J509" i="6"/>
  <c r="I509" i="6"/>
  <c r="H509" i="6"/>
  <c r="G509" i="6"/>
  <c r="M508" i="6"/>
  <c r="L508" i="6"/>
  <c r="K508" i="6"/>
  <c r="J508" i="6"/>
  <c r="I508" i="6"/>
  <c r="H508" i="6"/>
  <c r="G508" i="6"/>
  <c r="M507" i="6"/>
  <c r="L507" i="6"/>
  <c r="K507" i="6"/>
  <c r="J507" i="6"/>
  <c r="I507" i="6"/>
  <c r="H507" i="6"/>
  <c r="G507" i="6"/>
  <c r="M506" i="6"/>
  <c r="L506" i="6"/>
  <c r="K506" i="6"/>
  <c r="J506" i="6"/>
  <c r="I506" i="6"/>
  <c r="H506" i="6"/>
  <c r="G506" i="6"/>
  <c r="M505" i="6"/>
  <c r="L505" i="6"/>
  <c r="K505" i="6"/>
  <c r="J505" i="6"/>
  <c r="I505" i="6"/>
  <c r="H505" i="6"/>
  <c r="G505" i="6"/>
  <c r="M504" i="6"/>
  <c r="L504" i="6"/>
  <c r="K504" i="6"/>
  <c r="J504" i="6"/>
  <c r="I504" i="6"/>
  <c r="H504" i="6"/>
  <c r="G504" i="6"/>
  <c r="M503" i="6"/>
  <c r="L503" i="6"/>
  <c r="K503" i="6"/>
  <c r="J503" i="6"/>
  <c r="I503" i="6"/>
  <c r="H503" i="6"/>
  <c r="G503" i="6"/>
  <c r="M502" i="6"/>
  <c r="L502" i="6"/>
  <c r="K502" i="6"/>
  <c r="J502" i="6"/>
  <c r="I502" i="6"/>
  <c r="H502" i="6"/>
  <c r="G502" i="6"/>
  <c r="M501" i="6"/>
  <c r="L501" i="6"/>
  <c r="K501" i="6"/>
  <c r="J501" i="6"/>
  <c r="I501" i="6"/>
  <c r="H501" i="6"/>
  <c r="G501" i="6"/>
  <c r="M500" i="6"/>
  <c r="L500" i="6"/>
  <c r="K500" i="6"/>
  <c r="J500" i="6"/>
  <c r="I500" i="6"/>
  <c r="H500" i="6"/>
  <c r="G500" i="6"/>
  <c r="M499" i="6"/>
  <c r="L499" i="6"/>
  <c r="K499" i="6"/>
  <c r="J499" i="6"/>
  <c r="I499" i="6"/>
  <c r="H499" i="6"/>
  <c r="G499" i="6"/>
  <c r="M498" i="6"/>
  <c r="L498" i="6"/>
  <c r="K498" i="6"/>
  <c r="J498" i="6"/>
  <c r="I498" i="6"/>
  <c r="H498" i="6"/>
  <c r="G498" i="6"/>
  <c r="M497" i="6"/>
  <c r="L497" i="6"/>
  <c r="K497" i="6"/>
  <c r="J497" i="6"/>
  <c r="I497" i="6"/>
  <c r="H497" i="6"/>
  <c r="G497" i="6"/>
  <c r="M496" i="6"/>
  <c r="L496" i="6"/>
  <c r="K496" i="6"/>
  <c r="J496" i="6"/>
  <c r="I496" i="6"/>
  <c r="H496" i="6"/>
  <c r="G496" i="6"/>
  <c r="M495" i="6"/>
  <c r="L495" i="6"/>
  <c r="K495" i="6"/>
  <c r="J495" i="6"/>
  <c r="I495" i="6"/>
  <c r="H495" i="6"/>
  <c r="G495" i="6"/>
  <c r="M494" i="6"/>
  <c r="L494" i="6"/>
  <c r="K494" i="6"/>
  <c r="J494" i="6"/>
  <c r="I494" i="6"/>
  <c r="H494" i="6"/>
  <c r="G494" i="6"/>
  <c r="M493" i="6"/>
  <c r="L493" i="6"/>
  <c r="K493" i="6"/>
  <c r="J493" i="6"/>
  <c r="I493" i="6"/>
  <c r="H493" i="6"/>
  <c r="G493" i="6"/>
  <c r="M492" i="6"/>
  <c r="L492" i="6"/>
  <c r="K492" i="6"/>
  <c r="J492" i="6"/>
  <c r="I492" i="6"/>
  <c r="H492" i="6"/>
  <c r="G492" i="6"/>
  <c r="M491" i="6"/>
  <c r="L491" i="6"/>
  <c r="K491" i="6"/>
  <c r="J491" i="6"/>
  <c r="I491" i="6"/>
  <c r="H491" i="6"/>
  <c r="G491" i="6"/>
  <c r="M490" i="6"/>
  <c r="L490" i="6"/>
  <c r="K490" i="6"/>
  <c r="J490" i="6"/>
  <c r="I490" i="6"/>
  <c r="H490" i="6"/>
  <c r="G490" i="6"/>
  <c r="M489" i="6"/>
  <c r="L489" i="6"/>
  <c r="K489" i="6"/>
  <c r="J489" i="6"/>
  <c r="I489" i="6"/>
  <c r="H489" i="6"/>
  <c r="G489" i="6"/>
  <c r="M488" i="6"/>
  <c r="L488" i="6"/>
  <c r="K488" i="6"/>
  <c r="J488" i="6"/>
  <c r="I488" i="6"/>
  <c r="H488" i="6"/>
  <c r="G488" i="6"/>
  <c r="M487" i="6"/>
  <c r="L487" i="6"/>
  <c r="K487" i="6"/>
  <c r="J487" i="6"/>
  <c r="I487" i="6"/>
  <c r="H487" i="6"/>
  <c r="G487" i="6"/>
  <c r="M486" i="6"/>
  <c r="L486" i="6"/>
  <c r="K486" i="6"/>
  <c r="J486" i="6"/>
  <c r="I486" i="6"/>
  <c r="H486" i="6"/>
  <c r="G486" i="6"/>
  <c r="M485" i="6"/>
  <c r="L485" i="6"/>
  <c r="K485" i="6"/>
  <c r="J485" i="6"/>
  <c r="I485" i="6"/>
  <c r="H485" i="6"/>
  <c r="G485" i="6"/>
  <c r="M484" i="6"/>
  <c r="L484" i="6"/>
  <c r="K484" i="6"/>
  <c r="J484" i="6"/>
  <c r="I484" i="6"/>
  <c r="H484" i="6"/>
  <c r="G484" i="6"/>
  <c r="M483" i="6"/>
  <c r="L483" i="6"/>
  <c r="K483" i="6"/>
  <c r="J483" i="6"/>
  <c r="I483" i="6"/>
  <c r="H483" i="6"/>
  <c r="G483" i="6"/>
  <c r="M482" i="6"/>
  <c r="L482" i="6"/>
  <c r="K482" i="6"/>
  <c r="J482" i="6"/>
  <c r="I482" i="6"/>
  <c r="H482" i="6"/>
  <c r="G482" i="6"/>
  <c r="M481" i="6"/>
  <c r="L481" i="6"/>
  <c r="K481" i="6"/>
  <c r="J481" i="6"/>
  <c r="I481" i="6"/>
  <c r="H481" i="6"/>
  <c r="G481" i="6"/>
  <c r="M480" i="6"/>
  <c r="L480" i="6"/>
  <c r="K480" i="6"/>
  <c r="J480" i="6"/>
  <c r="I480" i="6"/>
  <c r="H480" i="6"/>
  <c r="G480" i="6"/>
  <c r="M479" i="6"/>
  <c r="L479" i="6"/>
  <c r="K479" i="6"/>
  <c r="J479" i="6"/>
  <c r="I479" i="6"/>
  <c r="H479" i="6"/>
  <c r="G479" i="6"/>
  <c r="M478" i="6"/>
  <c r="L478" i="6"/>
  <c r="K478" i="6"/>
  <c r="J478" i="6"/>
  <c r="I478" i="6"/>
  <c r="H478" i="6"/>
  <c r="G478" i="6"/>
  <c r="M477" i="6"/>
  <c r="L477" i="6"/>
  <c r="K477" i="6"/>
  <c r="J477" i="6"/>
  <c r="I477" i="6"/>
  <c r="H477" i="6"/>
  <c r="G477" i="6"/>
  <c r="M476" i="6"/>
  <c r="L476" i="6"/>
  <c r="K476" i="6"/>
  <c r="J476" i="6"/>
  <c r="I476" i="6"/>
  <c r="H476" i="6"/>
  <c r="G476" i="6"/>
  <c r="M475" i="6"/>
  <c r="L475" i="6"/>
  <c r="K475" i="6"/>
  <c r="J475" i="6"/>
  <c r="I475" i="6"/>
  <c r="H475" i="6"/>
  <c r="G475" i="6"/>
  <c r="M474" i="6"/>
  <c r="L474" i="6"/>
  <c r="K474" i="6"/>
  <c r="J474" i="6"/>
  <c r="I474" i="6"/>
  <c r="H474" i="6"/>
  <c r="G474" i="6"/>
  <c r="M473" i="6"/>
  <c r="L473" i="6"/>
  <c r="K473" i="6"/>
  <c r="J473" i="6"/>
  <c r="I473" i="6"/>
  <c r="H473" i="6"/>
  <c r="G473" i="6"/>
  <c r="M472" i="6"/>
  <c r="L472" i="6"/>
  <c r="K472" i="6"/>
  <c r="J472" i="6"/>
  <c r="I472" i="6"/>
  <c r="H472" i="6"/>
  <c r="G472" i="6"/>
  <c r="M471" i="6"/>
  <c r="L471" i="6"/>
  <c r="K471" i="6"/>
  <c r="J471" i="6"/>
  <c r="I471" i="6"/>
  <c r="H471" i="6"/>
  <c r="G471" i="6"/>
  <c r="M470" i="6"/>
  <c r="L470" i="6"/>
  <c r="K470" i="6"/>
  <c r="J470" i="6"/>
  <c r="I470" i="6"/>
  <c r="H470" i="6"/>
  <c r="G470" i="6"/>
  <c r="M469" i="6"/>
  <c r="L469" i="6"/>
  <c r="K469" i="6"/>
  <c r="J469" i="6"/>
  <c r="I469" i="6"/>
  <c r="H469" i="6"/>
  <c r="G469" i="6"/>
  <c r="M468" i="6"/>
  <c r="L468" i="6"/>
  <c r="K468" i="6"/>
  <c r="J468" i="6"/>
  <c r="I468" i="6"/>
  <c r="H468" i="6"/>
  <c r="G468" i="6"/>
  <c r="M467" i="6"/>
  <c r="L467" i="6"/>
  <c r="K467" i="6"/>
  <c r="J467" i="6"/>
  <c r="I467" i="6"/>
  <c r="H467" i="6"/>
  <c r="G467" i="6"/>
  <c r="M466" i="6"/>
  <c r="L466" i="6"/>
  <c r="K466" i="6"/>
  <c r="J466" i="6"/>
  <c r="I466" i="6"/>
  <c r="H466" i="6"/>
  <c r="G466" i="6"/>
  <c r="M465" i="6"/>
  <c r="L465" i="6"/>
  <c r="K465" i="6"/>
  <c r="J465" i="6"/>
  <c r="I465" i="6"/>
  <c r="H465" i="6"/>
  <c r="G465" i="6"/>
  <c r="M464" i="6"/>
  <c r="L464" i="6"/>
  <c r="K464" i="6"/>
  <c r="J464" i="6"/>
  <c r="I464" i="6"/>
  <c r="H464" i="6"/>
  <c r="G464" i="6"/>
  <c r="M463" i="6"/>
  <c r="L463" i="6"/>
  <c r="K463" i="6"/>
  <c r="J463" i="6"/>
  <c r="I463" i="6"/>
  <c r="H463" i="6"/>
  <c r="G463" i="6"/>
  <c r="M462" i="6"/>
  <c r="L462" i="6"/>
  <c r="K462" i="6"/>
  <c r="J462" i="6"/>
  <c r="I462" i="6"/>
  <c r="H462" i="6"/>
  <c r="G462" i="6"/>
  <c r="M461" i="6"/>
  <c r="L461" i="6"/>
  <c r="K461" i="6"/>
  <c r="J461" i="6"/>
  <c r="I461" i="6"/>
  <c r="H461" i="6"/>
  <c r="G461" i="6"/>
  <c r="M460" i="6"/>
  <c r="L460" i="6"/>
  <c r="K460" i="6"/>
  <c r="J460" i="6"/>
  <c r="I460" i="6"/>
  <c r="H460" i="6"/>
  <c r="G460" i="6"/>
  <c r="M459" i="6"/>
  <c r="L459" i="6"/>
  <c r="K459" i="6"/>
  <c r="J459" i="6"/>
  <c r="I459" i="6"/>
  <c r="H459" i="6"/>
  <c r="G459" i="6"/>
  <c r="M458" i="6"/>
  <c r="L458" i="6"/>
  <c r="K458" i="6"/>
  <c r="J458" i="6"/>
  <c r="I458" i="6"/>
  <c r="H458" i="6"/>
  <c r="G458" i="6"/>
  <c r="M457" i="6"/>
  <c r="L457" i="6"/>
  <c r="K457" i="6"/>
  <c r="J457" i="6"/>
  <c r="I457" i="6"/>
  <c r="H457" i="6"/>
  <c r="G457" i="6"/>
  <c r="M456" i="6"/>
  <c r="L456" i="6"/>
  <c r="K456" i="6"/>
  <c r="J456" i="6"/>
  <c r="I456" i="6"/>
  <c r="H456" i="6"/>
  <c r="G456" i="6"/>
  <c r="M455" i="6"/>
  <c r="L455" i="6"/>
  <c r="K455" i="6"/>
  <c r="J455" i="6"/>
  <c r="I455" i="6"/>
  <c r="H455" i="6"/>
  <c r="G455" i="6"/>
  <c r="M454" i="6"/>
  <c r="L454" i="6"/>
  <c r="K454" i="6"/>
  <c r="J454" i="6"/>
  <c r="I454" i="6"/>
  <c r="H454" i="6"/>
  <c r="G454" i="6"/>
  <c r="M453" i="6"/>
  <c r="L453" i="6"/>
  <c r="K453" i="6"/>
  <c r="J453" i="6"/>
  <c r="I453" i="6"/>
  <c r="H453" i="6"/>
  <c r="G453" i="6"/>
  <c r="M452" i="6"/>
  <c r="L452" i="6"/>
  <c r="K452" i="6"/>
  <c r="J452" i="6"/>
  <c r="I452" i="6"/>
  <c r="H452" i="6"/>
  <c r="G452" i="6"/>
  <c r="M451" i="6"/>
  <c r="L451" i="6"/>
  <c r="K451" i="6"/>
  <c r="J451" i="6"/>
  <c r="I451" i="6"/>
  <c r="H451" i="6"/>
  <c r="G451" i="6"/>
  <c r="M450" i="6"/>
  <c r="L450" i="6"/>
  <c r="K450" i="6"/>
  <c r="J450" i="6"/>
  <c r="I450" i="6"/>
  <c r="H450" i="6"/>
  <c r="G450" i="6"/>
  <c r="M449" i="6"/>
  <c r="L449" i="6"/>
  <c r="K449" i="6"/>
  <c r="J449" i="6"/>
  <c r="I449" i="6"/>
  <c r="H449" i="6"/>
  <c r="G449" i="6"/>
  <c r="M448" i="6"/>
  <c r="L448" i="6"/>
  <c r="K448" i="6"/>
  <c r="J448" i="6"/>
  <c r="I448" i="6"/>
  <c r="H448" i="6"/>
  <c r="G448" i="6"/>
  <c r="M447" i="6"/>
  <c r="L447" i="6"/>
  <c r="K447" i="6"/>
  <c r="J447" i="6"/>
  <c r="I447" i="6"/>
  <c r="H447" i="6"/>
  <c r="G447" i="6"/>
  <c r="M446" i="6"/>
  <c r="L446" i="6"/>
  <c r="K446" i="6"/>
  <c r="J446" i="6"/>
  <c r="I446" i="6"/>
  <c r="H446" i="6"/>
  <c r="G446" i="6"/>
  <c r="M445" i="6"/>
  <c r="L445" i="6"/>
  <c r="K445" i="6"/>
  <c r="J445" i="6"/>
  <c r="I445" i="6"/>
  <c r="H445" i="6"/>
  <c r="G445" i="6"/>
  <c r="M444" i="6"/>
  <c r="L444" i="6"/>
  <c r="K444" i="6"/>
  <c r="J444" i="6"/>
  <c r="I444" i="6"/>
  <c r="H444" i="6"/>
  <c r="G444" i="6"/>
  <c r="M443" i="6"/>
  <c r="L443" i="6"/>
  <c r="K443" i="6"/>
  <c r="J443" i="6"/>
  <c r="I443" i="6"/>
  <c r="H443" i="6"/>
  <c r="G443" i="6"/>
  <c r="M442" i="6"/>
  <c r="L442" i="6"/>
  <c r="K442" i="6"/>
  <c r="J442" i="6"/>
  <c r="I442" i="6"/>
  <c r="H442" i="6"/>
  <c r="G442" i="6"/>
  <c r="M441" i="6"/>
  <c r="L441" i="6"/>
  <c r="K441" i="6"/>
  <c r="J441" i="6"/>
  <c r="I441" i="6"/>
  <c r="H441" i="6"/>
  <c r="G441" i="6"/>
  <c r="M440" i="6"/>
  <c r="L440" i="6"/>
  <c r="K440" i="6"/>
  <c r="J440" i="6"/>
  <c r="I440" i="6"/>
  <c r="H440" i="6"/>
  <c r="G440" i="6"/>
  <c r="M439" i="6"/>
  <c r="L439" i="6"/>
  <c r="K439" i="6"/>
  <c r="J439" i="6"/>
  <c r="I439" i="6"/>
  <c r="H439" i="6"/>
  <c r="G439" i="6"/>
  <c r="M438" i="6"/>
  <c r="L438" i="6"/>
  <c r="K438" i="6"/>
  <c r="J438" i="6"/>
  <c r="I438" i="6"/>
  <c r="H438" i="6"/>
  <c r="G438" i="6"/>
  <c r="M437" i="6"/>
  <c r="L437" i="6"/>
  <c r="K437" i="6"/>
  <c r="J437" i="6"/>
  <c r="I437" i="6"/>
  <c r="H437" i="6"/>
  <c r="G437" i="6"/>
  <c r="M436" i="6"/>
  <c r="L436" i="6"/>
  <c r="K436" i="6"/>
  <c r="J436" i="6"/>
  <c r="I436" i="6"/>
  <c r="H436" i="6"/>
  <c r="G436" i="6"/>
  <c r="M435" i="6"/>
  <c r="L435" i="6"/>
  <c r="K435" i="6"/>
  <c r="J435" i="6"/>
  <c r="I435" i="6"/>
  <c r="H435" i="6"/>
  <c r="G435" i="6"/>
  <c r="M434" i="6"/>
  <c r="L434" i="6"/>
  <c r="K434" i="6"/>
  <c r="J434" i="6"/>
  <c r="I434" i="6"/>
  <c r="H434" i="6"/>
  <c r="G434" i="6"/>
  <c r="M433" i="6"/>
  <c r="L433" i="6"/>
  <c r="K433" i="6"/>
  <c r="J433" i="6"/>
  <c r="I433" i="6"/>
  <c r="H433" i="6"/>
  <c r="G433" i="6"/>
  <c r="M432" i="6"/>
  <c r="L432" i="6"/>
  <c r="K432" i="6"/>
  <c r="J432" i="6"/>
  <c r="I432" i="6"/>
  <c r="H432" i="6"/>
  <c r="G432" i="6"/>
  <c r="M431" i="6"/>
  <c r="L431" i="6"/>
  <c r="K431" i="6"/>
  <c r="J431" i="6"/>
  <c r="I431" i="6"/>
  <c r="H431" i="6"/>
  <c r="G431" i="6"/>
  <c r="M430" i="6"/>
  <c r="L430" i="6"/>
  <c r="K430" i="6"/>
  <c r="J430" i="6"/>
  <c r="I430" i="6"/>
  <c r="H430" i="6"/>
  <c r="G430" i="6"/>
  <c r="M429" i="6"/>
  <c r="L429" i="6"/>
  <c r="K429" i="6"/>
  <c r="J429" i="6"/>
  <c r="I429" i="6"/>
  <c r="H429" i="6"/>
  <c r="G429" i="6"/>
  <c r="M428" i="6"/>
  <c r="L428" i="6"/>
  <c r="K428" i="6"/>
  <c r="J428" i="6"/>
  <c r="I428" i="6"/>
  <c r="H428" i="6"/>
  <c r="G428" i="6"/>
  <c r="M427" i="6"/>
  <c r="L427" i="6"/>
  <c r="K427" i="6"/>
  <c r="J427" i="6"/>
  <c r="I427" i="6"/>
  <c r="H427" i="6"/>
  <c r="G427" i="6"/>
  <c r="M426" i="6"/>
  <c r="L426" i="6"/>
  <c r="K426" i="6"/>
  <c r="J426" i="6"/>
  <c r="I426" i="6"/>
  <c r="H426" i="6"/>
  <c r="G426" i="6"/>
  <c r="M425" i="6"/>
  <c r="L425" i="6"/>
  <c r="K425" i="6"/>
  <c r="J425" i="6"/>
  <c r="I425" i="6"/>
  <c r="H425" i="6"/>
  <c r="G425" i="6"/>
  <c r="M424" i="6"/>
  <c r="L424" i="6"/>
  <c r="K424" i="6"/>
  <c r="J424" i="6"/>
  <c r="I424" i="6"/>
  <c r="H424" i="6"/>
  <c r="G424" i="6"/>
  <c r="M423" i="6"/>
  <c r="L423" i="6"/>
  <c r="K423" i="6"/>
  <c r="J423" i="6"/>
  <c r="I423" i="6"/>
  <c r="H423" i="6"/>
  <c r="G423" i="6"/>
  <c r="M422" i="6"/>
  <c r="L422" i="6"/>
  <c r="K422" i="6"/>
  <c r="J422" i="6"/>
  <c r="I422" i="6"/>
  <c r="H422" i="6"/>
  <c r="G422" i="6"/>
  <c r="M421" i="6"/>
  <c r="L421" i="6"/>
  <c r="K421" i="6"/>
  <c r="J421" i="6"/>
  <c r="I421" i="6"/>
  <c r="H421" i="6"/>
  <c r="G421" i="6"/>
  <c r="M420" i="6"/>
  <c r="L420" i="6"/>
  <c r="K420" i="6"/>
  <c r="J420" i="6"/>
  <c r="I420" i="6"/>
  <c r="H420" i="6"/>
  <c r="G420" i="6"/>
  <c r="M419" i="6"/>
  <c r="L419" i="6"/>
  <c r="K419" i="6"/>
  <c r="J419" i="6"/>
  <c r="I419" i="6"/>
  <c r="H419" i="6"/>
  <c r="G419" i="6"/>
  <c r="M418" i="6"/>
  <c r="L418" i="6"/>
  <c r="K418" i="6"/>
  <c r="J418" i="6"/>
  <c r="I418" i="6"/>
  <c r="H418" i="6"/>
  <c r="G418" i="6"/>
  <c r="M417" i="6"/>
  <c r="L417" i="6"/>
  <c r="K417" i="6"/>
  <c r="J417" i="6"/>
  <c r="I417" i="6"/>
  <c r="H417" i="6"/>
  <c r="G417" i="6"/>
  <c r="M416" i="6"/>
  <c r="L416" i="6"/>
  <c r="K416" i="6"/>
  <c r="J416" i="6"/>
  <c r="I416" i="6"/>
  <c r="H416" i="6"/>
  <c r="G416" i="6"/>
  <c r="M415" i="6"/>
  <c r="L415" i="6"/>
  <c r="K415" i="6"/>
  <c r="J415" i="6"/>
  <c r="I415" i="6"/>
  <c r="H415" i="6"/>
  <c r="G415" i="6"/>
  <c r="M414" i="6"/>
  <c r="L414" i="6"/>
  <c r="K414" i="6"/>
  <c r="J414" i="6"/>
  <c r="I414" i="6"/>
  <c r="H414" i="6"/>
  <c r="G414" i="6"/>
  <c r="M413" i="6"/>
  <c r="L413" i="6"/>
  <c r="K413" i="6"/>
  <c r="J413" i="6"/>
  <c r="I413" i="6"/>
  <c r="H413" i="6"/>
  <c r="G413" i="6"/>
  <c r="M412" i="6"/>
  <c r="L412" i="6"/>
  <c r="K412" i="6"/>
  <c r="J412" i="6"/>
  <c r="I412" i="6"/>
  <c r="H412" i="6"/>
  <c r="G412" i="6"/>
  <c r="M411" i="6"/>
  <c r="L411" i="6"/>
  <c r="K411" i="6"/>
  <c r="J411" i="6"/>
  <c r="I411" i="6"/>
  <c r="H411" i="6"/>
  <c r="G411" i="6"/>
  <c r="M410" i="6"/>
  <c r="L410" i="6"/>
  <c r="K410" i="6"/>
  <c r="J410" i="6"/>
  <c r="I410" i="6"/>
  <c r="H410" i="6"/>
  <c r="G410" i="6"/>
  <c r="M409" i="6"/>
  <c r="L409" i="6"/>
  <c r="K409" i="6"/>
  <c r="J409" i="6"/>
  <c r="I409" i="6"/>
  <c r="H409" i="6"/>
  <c r="G409" i="6"/>
  <c r="M408" i="6"/>
  <c r="L408" i="6"/>
  <c r="K408" i="6"/>
  <c r="J408" i="6"/>
  <c r="I408" i="6"/>
  <c r="H408" i="6"/>
  <c r="G408" i="6"/>
  <c r="M407" i="6"/>
  <c r="L407" i="6"/>
  <c r="K407" i="6"/>
  <c r="J407" i="6"/>
  <c r="I407" i="6"/>
  <c r="H407" i="6"/>
  <c r="G407" i="6"/>
  <c r="M406" i="6"/>
  <c r="L406" i="6"/>
  <c r="K406" i="6"/>
  <c r="J406" i="6"/>
  <c r="I406" i="6"/>
  <c r="H406" i="6"/>
  <c r="G406" i="6"/>
  <c r="M405" i="6"/>
  <c r="L405" i="6"/>
  <c r="K405" i="6"/>
  <c r="J405" i="6"/>
  <c r="I405" i="6"/>
  <c r="H405" i="6"/>
  <c r="G405" i="6"/>
  <c r="M404" i="6"/>
  <c r="L404" i="6"/>
  <c r="K404" i="6"/>
  <c r="J404" i="6"/>
  <c r="I404" i="6"/>
  <c r="H404" i="6"/>
  <c r="G404" i="6"/>
  <c r="M403" i="6"/>
  <c r="L403" i="6"/>
  <c r="K403" i="6"/>
  <c r="J403" i="6"/>
  <c r="I403" i="6"/>
  <c r="H403" i="6"/>
  <c r="G403" i="6"/>
  <c r="M402" i="6"/>
  <c r="L402" i="6"/>
  <c r="K402" i="6"/>
  <c r="J402" i="6"/>
  <c r="I402" i="6"/>
  <c r="H402" i="6"/>
  <c r="G402" i="6"/>
  <c r="M401" i="6"/>
  <c r="L401" i="6"/>
  <c r="K401" i="6"/>
  <c r="J401" i="6"/>
  <c r="I401" i="6"/>
  <c r="H401" i="6"/>
  <c r="G401" i="6"/>
  <c r="M400" i="6"/>
  <c r="L400" i="6"/>
  <c r="K400" i="6"/>
  <c r="J400" i="6"/>
  <c r="I400" i="6"/>
  <c r="H400" i="6"/>
  <c r="G400" i="6"/>
  <c r="M399" i="6"/>
  <c r="L399" i="6"/>
  <c r="K399" i="6"/>
  <c r="J399" i="6"/>
  <c r="I399" i="6"/>
  <c r="H399" i="6"/>
  <c r="G399" i="6"/>
  <c r="M398" i="6"/>
  <c r="L398" i="6"/>
  <c r="K398" i="6"/>
  <c r="J398" i="6"/>
  <c r="I398" i="6"/>
  <c r="H398" i="6"/>
  <c r="G398" i="6"/>
  <c r="M397" i="6"/>
  <c r="L397" i="6"/>
  <c r="K397" i="6"/>
  <c r="J397" i="6"/>
  <c r="I397" i="6"/>
  <c r="H397" i="6"/>
  <c r="G397" i="6"/>
  <c r="M396" i="6"/>
  <c r="L396" i="6"/>
  <c r="K396" i="6"/>
  <c r="J396" i="6"/>
  <c r="I396" i="6"/>
  <c r="H396" i="6"/>
  <c r="G396" i="6"/>
  <c r="M395" i="6"/>
  <c r="L395" i="6"/>
  <c r="K395" i="6"/>
  <c r="J395" i="6"/>
  <c r="I395" i="6"/>
  <c r="H395" i="6"/>
  <c r="G395" i="6"/>
  <c r="M394" i="6"/>
  <c r="L394" i="6"/>
  <c r="K394" i="6"/>
  <c r="J394" i="6"/>
  <c r="I394" i="6"/>
  <c r="H394" i="6"/>
  <c r="G394" i="6"/>
  <c r="M393" i="6"/>
  <c r="L393" i="6"/>
  <c r="K393" i="6"/>
  <c r="J393" i="6"/>
  <c r="I393" i="6"/>
  <c r="H393" i="6"/>
  <c r="G393" i="6"/>
  <c r="M392" i="6"/>
  <c r="L392" i="6"/>
  <c r="K392" i="6"/>
  <c r="J392" i="6"/>
  <c r="I392" i="6"/>
  <c r="H392" i="6"/>
  <c r="G392" i="6"/>
  <c r="M391" i="6"/>
  <c r="L391" i="6"/>
  <c r="K391" i="6"/>
  <c r="J391" i="6"/>
  <c r="I391" i="6"/>
  <c r="H391" i="6"/>
  <c r="G391" i="6"/>
  <c r="M390" i="6"/>
  <c r="L390" i="6"/>
  <c r="K390" i="6"/>
  <c r="J390" i="6"/>
  <c r="I390" i="6"/>
  <c r="H390" i="6"/>
  <c r="G390" i="6"/>
  <c r="M389" i="6"/>
  <c r="L389" i="6"/>
  <c r="K389" i="6"/>
  <c r="J389" i="6"/>
  <c r="I389" i="6"/>
  <c r="H389" i="6"/>
  <c r="G389" i="6"/>
  <c r="M388" i="6"/>
  <c r="L388" i="6"/>
  <c r="K388" i="6"/>
  <c r="J388" i="6"/>
  <c r="I388" i="6"/>
  <c r="H388" i="6"/>
  <c r="G388" i="6"/>
  <c r="M387" i="6"/>
  <c r="L387" i="6"/>
  <c r="K387" i="6"/>
  <c r="J387" i="6"/>
  <c r="I387" i="6"/>
  <c r="H387" i="6"/>
  <c r="G387" i="6"/>
  <c r="M386" i="6"/>
  <c r="L386" i="6"/>
  <c r="K386" i="6"/>
  <c r="J386" i="6"/>
  <c r="I386" i="6"/>
  <c r="H386" i="6"/>
  <c r="G386" i="6"/>
  <c r="M385" i="6"/>
  <c r="L385" i="6"/>
  <c r="K385" i="6"/>
  <c r="J385" i="6"/>
  <c r="I385" i="6"/>
  <c r="H385" i="6"/>
  <c r="G385" i="6"/>
  <c r="M384" i="6"/>
  <c r="L384" i="6"/>
  <c r="K384" i="6"/>
  <c r="J384" i="6"/>
  <c r="I384" i="6"/>
  <c r="H384" i="6"/>
  <c r="G384" i="6"/>
  <c r="M383" i="6"/>
  <c r="L383" i="6"/>
  <c r="K383" i="6"/>
  <c r="J383" i="6"/>
  <c r="I383" i="6"/>
  <c r="H383" i="6"/>
  <c r="G383" i="6"/>
  <c r="M382" i="6"/>
  <c r="L382" i="6"/>
  <c r="K382" i="6"/>
  <c r="J382" i="6"/>
  <c r="I382" i="6"/>
  <c r="H382" i="6"/>
  <c r="G382" i="6"/>
  <c r="M381" i="6"/>
  <c r="L381" i="6"/>
  <c r="K381" i="6"/>
  <c r="J381" i="6"/>
  <c r="I381" i="6"/>
  <c r="H381" i="6"/>
  <c r="G381" i="6"/>
  <c r="M380" i="6"/>
  <c r="L380" i="6"/>
  <c r="K380" i="6"/>
  <c r="J380" i="6"/>
  <c r="I380" i="6"/>
  <c r="H380" i="6"/>
  <c r="G380" i="6"/>
  <c r="M379" i="6"/>
  <c r="L379" i="6"/>
  <c r="K379" i="6"/>
  <c r="J379" i="6"/>
  <c r="I379" i="6"/>
  <c r="H379" i="6"/>
  <c r="G379" i="6"/>
  <c r="M378" i="6"/>
  <c r="L378" i="6"/>
  <c r="K378" i="6"/>
  <c r="J378" i="6"/>
  <c r="I378" i="6"/>
  <c r="H378" i="6"/>
  <c r="G378" i="6"/>
  <c r="M377" i="6"/>
  <c r="L377" i="6"/>
  <c r="K377" i="6"/>
  <c r="J377" i="6"/>
  <c r="I377" i="6"/>
  <c r="H377" i="6"/>
  <c r="G377" i="6"/>
  <c r="M376" i="6"/>
  <c r="L376" i="6"/>
  <c r="K376" i="6"/>
  <c r="J376" i="6"/>
  <c r="I376" i="6"/>
  <c r="H376" i="6"/>
  <c r="G376" i="6"/>
  <c r="M375" i="6"/>
  <c r="L375" i="6"/>
  <c r="K375" i="6"/>
  <c r="J375" i="6"/>
  <c r="I375" i="6"/>
  <c r="H375" i="6"/>
  <c r="G375" i="6"/>
  <c r="M374" i="6"/>
  <c r="L374" i="6"/>
  <c r="K374" i="6"/>
  <c r="J374" i="6"/>
  <c r="I374" i="6"/>
  <c r="H374" i="6"/>
  <c r="G374" i="6"/>
  <c r="M373" i="6"/>
  <c r="L373" i="6"/>
  <c r="K373" i="6"/>
  <c r="J373" i="6"/>
  <c r="I373" i="6"/>
  <c r="H373" i="6"/>
  <c r="G373" i="6"/>
  <c r="M372" i="6"/>
  <c r="L372" i="6"/>
  <c r="K372" i="6"/>
  <c r="J372" i="6"/>
  <c r="I372" i="6"/>
  <c r="H372" i="6"/>
  <c r="G372" i="6"/>
  <c r="M371" i="6"/>
  <c r="L371" i="6"/>
  <c r="K371" i="6"/>
  <c r="J371" i="6"/>
  <c r="I371" i="6"/>
  <c r="H371" i="6"/>
  <c r="G371" i="6"/>
  <c r="M370" i="6"/>
  <c r="L370" i="6"/>
  <c r="K370" i="6"/>
  <c r="J370" i="6"/>
  <c r="I370" i="6"/>
  <c r="H370" i="6"/>
  <c r="G370" i="6"/>
  <c r="M369" i="6"/>
  <c r="L369" i="6"/>
  <c r="K369" i="6"/>
  <c r="J369" i="6"/>
  <c r="I369" i="6"/>
  <c r="H369" i="6"/>
  <c r="G369" i="6"/>
  <c r="M368" i="6"/>
  <c r="L368" i="6"/>
  <c r="K368" i="6"/>
  <c r="J368" i="6"/>
  <c r="I368" i="6"/>
  <c r="H368" i="6"/>
  <c r="G368" i="6"/>
  <c r="M367" i="6"/>
  <c r="L367" i="6"/>
  <c r="K367" i="6"/>
  <c r="J367" i="6"/>
  <c r="I367" i="6"/>
  <c r="H367" i="6"/>
  <c r="G367" i="6"/>
  <c r="M366" i="6"/>
  <c r="L366" i="6"/>
  <c r="K366" i="6"/>
  <c r="J366" i="6"/>
  <c r="I366" i="6"/>
  <c r="H366" i="6"/>
  <c r="G366" i="6"/>
  <c r="M365" i="6"/>
  <c r="L365" i="6"/>
  <c r="K365" i="6"/>
  <c r="J365" i="6"/>
  <c r="I365" i="6"/>
  <c r="H365" i="6"/>
  <c r="G365" i="6"/>
  <c r="M364" i="6"/>
  <c r="L364" i="6"/>
  <c r="K364" i="6"/>
  <c r="J364" i="6"/>
  <c r="I364" i="6"/>
  <c r="H364" i="6"/>
  <c r="G364" i="6"/>
  <c r="M363" i="6"/>
  <c r="L363" i="6"/>
  <c r="K363" i="6"/>
  <c r="J363" i="6"/>
  <c r="I363" i="6"/>
  <c r="H363" i="6"/>
  <c r="G363" i="6"/>
  <c r="M362" i="6"/>
  <c r="L362" i="6"/>
  <c r="K362" i="6"/>
  <c r="J362" i="6"/>
  <c r="I362" i="6"/>
  <c r="H362" i="6"/>
  <c r="G362" i="6"/>
  <c r="M361" i="6"/>
  <c r="L361" i="6"/>
  <c r="K361" i="6"/>
  <c r="J361" i="6"/>
  <c r="I361" i="6"/>
  <c r="H361" i="6"/>
  <c r="G361" i="6"/>
  <c r="M360" i="6"/>
  <c r="L360" i="6"/>
  <c r="K360" i="6"/>
  <c r="J360" i="6"/>
  <c r="I360" i="6"/>
  <c r="H360" i="6"/>
  <c r="G360" i="6"/>
  <c r="M359" i="6"/>
  <c r="L359" i="6"/>
  <c r="K359" i="6"/>
  <c r="J359" i="6"/>
  <c r="I359" i="6"/>
  <c r="H359" i="6"/>
  <c r="G359" i="6"/>
  <c r="M358" i="6"/>
  <c r="L358" i="6"/>
  <c r="K358" i="6"/>
  <c r="J358" i="6"/>
  <c r="I358" i="6"/>
  <c r="H358" i="6"/>
  <c r="G358" i="6"/>
  <c r="M357" i="6"/>
  <c r="L357" i="6"/>
  <c r="K357" i="6"/>
  <c r="J357" i="6"/>
  <c r="I357" i="6"/>
  <c r="H357" i="6"/>
  <c r="G357" i="6"/>
  <c r="M356" i="6"/>
  <c r="L356" i="6"/>
  <c r="K356" i="6"/>
  <c r="J356" i="6"/>
  <c r="I356" i="6"/>
  <c r="H356" i="6"/>
  <c r="G356" i="6"/>
  <c r="M355" i="6"/>
  <c r="L355" i="6"/>
  <c r="K355" i="6"/>
  <c r="J355" i="6"/>
  <c r="I355" i="6"/>
  <c r="H355" i="6"/>
  <c r="G355" i="6"/>
  <c r="M354" i="6"/>
  <c r="L354" i="6"/>
  <c r="K354" i="6"/>
  <c r="J354" i="6"/>
  <c r="I354" i="6"/>
  <c r="H354" i="6"/>
  <c r="G354" i="6"/>
  <c r="M353" i="6"/>
  <c r="L353" i="6"/>
  <c r="K353" i="6"/>
  <c r="J353" i="6"/>
  <c r="I353" i="6"/>
  <c r="H353" i="6"/>
  <c r="G353" i="6"/>
  <c r="M352" i="6"/>
  <c r="L352" i="6"/>
  <c r="K352" i="6"/>
  <c r="J352" i="6"/>
  <c r="I352" i="6"/>
  <c r="H352" i="6"/>
  <c r="G352" i="6"/>
  <c r="M351" i="6"/>
  <c r="L351" i="6"/>
  <c r="K351" i="6"/>
  <c r="J351" i="6"/>
  <c r="I351" i="6"/>
  <c r="H351" i="6"/>
  <c r="G351" i="6"/>
  <c r="M350" i="6"/>
  <c r="L350" i="6"/>
  <c r="K350" i="6"/>
  <c r="J350" i="6"/>
  <c r="I350" i="6"/>
  <c r="H350" i="6"/>
  <c r="G350" i="6"/>
  <c r="M349" i="6"/>
  <c r="L349" i="6"/>
  <c r="K349" i="6"/>
  <c r="J349" i="6"/>
  <c r="I349" i="6"/>
  <c r="H349" i="6"/>
  <c r="G349" i="6"/>
  <c r="M348" i="6"/>
  <c r="L348" i="6"/>
  <c r="K348" i="6"/>
  <c r="J348" i="6"/>
  <c r="I348" i="6"/>
  <c r="H348" i="6"/>
  <c r="G348" i="6"/>
  <c r="M347" i="6"/>
  <c r="L347" i="6"/>
  <c r="K347" i="6"/>
  <c r="J347" i="6"/>
  <c r="I347" i="6"/>
  <c r="H347" i="6"/>
  <c r="G347" i="6"/>
  <c r="M346" i="6"/>
  <c r="L346" i="6"/>
  <c r="K346" i="6"/>
  <c r="J346" i="6"/>
  <c r="I346" i="6"/>
  <c r="H346" i="6"/>
  <c r="G346" i="6"/>
  <c r="M345" i="6"/>
  <c r="L345" i="6"/>
  <c r="K345" i="6"/>
  <c r="J345" i="6"/>
  <c r="I345" i="6"/>
  <c r="H345" i="6"/>
  <c r="G345" i="6"/>
  <c r="M344" i="6"/>
  <c r="L344" i="6"/>
  <c r="K344" i="6"/>
  <c r="J344" i="6"/>
  <c r="I344" i="6"/>
  <c r="H344" i="6"/>
  <c r="G344" i="6"/>
  <c r="M343" i="6"/>
  <c r="L343" i="6"/>
  <c r="K343" i="6"/>
  <c r="J343" i="6"/>
  <c r="I343" i="6"/>
  <c r="H343" i="6"/>
  <c r="G343" i="6"/>
  <c r="M342" i="6"/>
  <c r="L342" i="6"/>
  <c r="K342" i="6"/>
  <c r="J342" i="6"/>
  <c r="I342" i="6"/>
  <c r="H342" i="6"/>
  <c r="G342" i="6"/>
  <c r="M341" i="6"/>
  <c r="L341" i="6"/>
  <c r="K341" i="6"/>
  <c r="J341" i="6"/>
  <c r="I341" i="6"/>
  <c r="H341" i="6"/>
  <c r="G341" i="6"/>
  <c r="M340" i="6"/>
  <c r="L340" i="6"/>
  <c r="K340" i="6"/>
  <c r="J340" i="6"/>
  <c r="I340" i="6"/>
  <c r="H340" i="6"/>
  <c r="G340" i="6"/>
  <c r="M339" i="6"/>
  <c r="L339" i="6"/>
  <c r="K339" i="6"/>
  <c r="J339" i="6"/>
  <c r="I339" i="6"/>
  <c r="H339" i="6"/>
  <c r="G339" i="6"/>
  <c r="M338" i="6"/>
  <c r="L338" i="6"/>
  <c r="K338" i="6"/>
  <c r="J338" i="6"/>
  <c r="I338" i="6"/>
  <c r="H338" i="6"/>
  <c r="G338" i="6"/>
  <c r="M337" i="6"/>
  <c r="L337" i="6"/>
  <c r="K337" i="6"/>
  <c r="J337" i="6"/>
  <c r="I337" i="6"/>
  <c r="H337" i="6"/>
  <c r="G337" i="6"/>
  <c r="M336" i="6"/>
  <c r="L336" i="6"/>
  <c r="K336" i="6"/>
  <c r="J336" i="6"/>
  <c r="I336" i="6"/>
  <c r="H336" i="6"/>
  <c r="G336" i="6"/>
  <c r="M335" i="6"/>
  <c r="L335" i="6"/>
  <c r="K335" i="6"/>
  <c r="J335" i="6"/>
  <c r="I335" i="6"/>
  <c r="H335" i="6"/>
  <c r="G335" i="6"/>
  <c r="M334" i="6"/>
  <c r="L334" i="6"/>
  <c r="K334" i="6"/>
  <c r="J334" i="6"/>
  <c r="I334" i="6"/>
  <c r="H334" i="6"/>
  <c r="G334" i="6"/>
  <c r="M333" i="6"/>
  <c r="L333" i="6"/>
  <c r="K333" i="6"/>
  <c r="J333" i="6"/>
  <c r="I333" i="6"/>
  <c r="H333" i="6"/>
  <c r="G333" i="6"/>
  <c r="M332" i="6"/>
  <c r="L332" i="6"/>
  <c r="K332" i="6"/>
  <c r="J332" i="6"/>
  <c r="I332" i="6"/>
  <c r="H332" i="6"/>
  <c r="G332" i="6"/>
  <c r="M331" i="6"/>
  <c r="L331" i="6"/>
  <c r="K331" i="6"/>
  <c r="J331" i="6"/>
  <c r="I331" i="6"/>
  <c r="H331" i="6"/>
  <c r="G331" i="6"/>
  <c r="M330" i="6"/>
  <c r="L330" i="6"/>
  <c r="K330" i="6"/>
  <c r="J330" i="6"/>
  <c r="I330" i="6"/>
  <c r="H330" i="6"/>
  <c r="G330" i="6"/>
  <c r="M329" i="6"/>
  <c r="L329" i="6"/>
  <c r="K329" i="6"/>
  <c r="J329" i="6"/>
  <c r="I329" i="6"/>
  <c r="H329" i="6"/>
  <c r="G329" i="6"/>
  <c r="M328" i="6"/>
  <c r="L328" i="6"/>
  <c r="K328" i="6"/>
  <c r="J328" i="6"/>
  <c r="I328" i="6"/>
  <c r="H328" i="6"/>
  <c r="G328" i="6"/>
  <c r="M327" i="6"/>
  <c r="L327" i="6"/>
  <c r="K327" i="6"/>
  <c r="J327" i="6"/>
  <c r="I327" i="6"/>
  <c r="H327" i="6"/>
  <c r="G327" i="6"/>
  <c r="M326" i="6"/>
  <c r="L326" i="6"/>
  <c r="K326" i="6"/>
  <c r="J326" i="6"/>
  <c r="I326" i="6"/>
  <c r="H326" i="6"/>
  <c r="G326" i="6"/>
  <c r="M325" i="6"/>
  <c r="L325" i="6"/>
  <c r="K325" i="6"/>
  <c r="J325" i="6"/>
  <c r="I325" i="6"/>
  <c r="H325" i="6"/>
  <c r="G325" i="6"/>
  <c r="M324" i="6"/>
  <c r="L324" i="6"/>
  <c r="K324" i="6"/>
  <c r="J324" i="6"/>
  <c r="I324" i="6"/>
  <c r="H324" i="6"/>
  <c r="G324" i="6"/>
  <c r="M323" i="6"/>
  <c r="L323" i="6"/>
  <c r="K323" i="6"/>
  <c r="J323" i="6"/>
  <c r="I323" i="6"/>
  <c r="H323" i="6"/>
  <c r="G323" i="6"/>
  <c r="M322" i="6"/>
  <c r="L322" i="6"/>
  <c r="K322" i="6"/>
  <c r="J322" i="6"/>
  <c r="I322" i="6"/>
  <c r="H322" i="6"/>
  <c r="G322" i="6"/>
  <c r="M321" i="6"/>
  <c r="L321" i="6"/>
  <c r="K321" i="6"/>
  <c r="J321" i="6"/>
  <c r="I321" i="6"/>
  <c r="H321" i="6"/>
  <c r="G321" i="6"/>
  <c r="M320" i="6"/>
  <c r="L320" i="6"/>
  <c r="K320" i="6"/>
  <c r="J320" i="6"/>
  <c r="I320" i="6"/>
  <c r="H320" i="6"/>
  <c r="G320" i="6"/>
  <c r="M319" i="6"/>
  <c r="L319" i="6"/>
  <c r="K319" i="6"/>
  <c r="J319" i="6"/>
  <c r="I319" i="6"/>
  <c r="H319" i="6"/>
  <c r="G319" i="6"/>
  <c r="M318" i="6"/>
  <c r="L318" i="6"/>
  <c r="K318" i="6"/>
  <c r="J318" i="6"/>
  <c r="I318" i="6"/>
  <c r="H318" i="6"/>
  <c r="G318" i="6"/>
  <c r="M317" i="6"/>
  <c r="L317" i="6"/>
  <c r="K317" i="6"/>
  <c r="J317" i="6"/>
  <c r="I317" i="6"/>
  <c r="H317" i="6"/>
  <c r="G317" i="6"/>
  <c r="M316" i="6"/>
  <c r="L316" i="6"/>
  <c r="K316" i="6"/>
  <c r="J316" i="6"/>
  <c r="I316" i="6"/>
  <c r="H316" i="6"/>
  <c r="G316" i="6"/>
  <c r="M315" i="6"/>
  <c r="L315" i="6"/>
  <c r="K315" i="6"/>
  <c r="J315" i="6"/>
  <c r="I315" i="6"/>
  <c r="H315" i="6"/>
  <c r="G315" i="6"/>
  <c r="M314" i="6"/>
  <c r="L314" i="6"/>
  <c r="K314" i="6"/>
  <c r="J314" i="6"/>
  <c r="I314" i="6"/>
  <c r="H314" i="6"/>
  <c r="G314" i="6"/>
  <c r="M313" i="6"/>
  <c r="L313" i="6"/>
  <c r="K313" i="6"/>
  <c r="J313" i="6"/>
  <c r="I313" i="6"/>
  <c r="H313" i="6"/>
  <c r="G313" i="6"/>
  <c r="M312" i="6"/>
  <c r="L312" i="6"/>
  <c r="K312" i="6"/>
  <c r="J312" i="6"/>
  <c r="I312" i="6"/>
  <c r="H312" i="6"/>
  <c r="G312" i="6"/>
  <c r="M311" i="6"/>
  <c r="L311" i="6"/>
  <c r="K311" i="6"/>
  <c r="J311" i="6"/>
  <c r="I311" i="6"/>
  <c r="H311" i="6"/>
  <c r="G311" i="6"/>
  <c r="M310" i="6"/>
  <c r="L310" i="6"/>
  <c r="K310" i="6"/>
  <c r="J310" i="6"/>
  <c r="I310" i="6"/>
  <c r="H310" i="6"/>
  <c r="G310" i="6"/>
  <c r="M309" i="6"/>
  <c r="L309" i="6"/>
  <c r="K309" i="6"/>
  <c r="J309" i="6"/>
  <c r="I309" i="6"/>
  <c r="H309" i="6"/>
  <c r="G309" i="6"/>
  <c r="M308" i="6"/>
  <c r="L308" i="6"/>
  <c r="K308" i="6"/>
  <c r="J308" i="6"/>
  <c r="I308" i="6"/>
  <c r="H308" i="6"/>
  <c r="G308" i="6"/>
  <c r="M307" i="6"/>
  <c r="L307" i="6"/>
  <c r="K307" i="6"/>
  <c r="J307" i="6"/>
  <c r="I307" i="6"/>
  <c r="H307" i="6"/>
  <c r="G307" i="6"/>
  <c r="M306" i="6"/>
  <c r="L306" i="6"/>
  <c r="K306" i="6"/>
  <c r="J306" i="6"/>
  <c r="I306" i="6"/>
  <c r="H306" i="6"/>
  <c r="G306" i="6"/>
  <c r="M305" i="6"/>
  <c r="L305" i="6"/>
  <c r="K305" i="6"/>
  <c r="J305" i="6"/>
  <c r="I305" i="6"/>
  <c r="H305" i="6"/>
  <c r="G305" i="6"/>
  <c r="M304" i="6"/>
  <c r="L304" i="6"/>
  <c r="K304" i="6"/>
  <c r="J304" i="6"/>
  <c r="I304" i="6"/>
  <c r="H304" i="6"/>
  <c r="G304" i="6"/>
  <c r="M303" i="6"/>
  <c r="L303" i="6"/>
  <c r="K303" i="6"/>
  <c r="J303" i="6"/>
  <c r="I303" i="6"/>
  <c r="H303" i="6"/>
  <c r="G303" i="6"/>
  <c r="M302" i="6"/>
  <c r="L302" i="6"/>
  <c r="K302" i="6"/>
  <c r="J302" i="6"/>
  <c r="I302" i="6"/>
  <c r="H302" i="6"/>
  <c r="G302" i="6"/>
  <c r="M301" i="6"/>
  <c r="L301" i="6"/>
  <c r="K301" i="6"/>
  <c r="J301" i="6"/>
  <c r="I301" i="6"/>
  <c r="H301" i="6"/>
  <c r="G301" i="6"/>
  <c r="M300" i="6"/>
  <c r="L300" i="6"/>
  <c r="K300" i="6"/>
  <c r="J300" i="6"/>
  <c r="I300" i="6"/>
  <c r="H300" i="6"/>
  <c r="G300" i="6"/>
  <c r="M299" i="6"/>
  <c r="L299" i="6"/>
  <c r="K299" i="6"/>
  <c r="J299" i="6"/>
  <c r="I299" i="6"/>
  <c r="H299" i="6"/>
  <c r="G299" i="6"/>
  <c r="M298" i="6"/>
  <c r="L298" i="6"/>
  <c r="K298" i="6"/>
  <c r="J298" i="6"/>
  <c r="I298" i="6"/>
  <c r="H298" i="6"/>
  <c r="G298" i="6"/>
  <c r="M297" i="6"/>
  <c r="L297" i="6"/>
  <c r="K297" i="6"/>
  <c r="J297" i="6"/>
  <c r="I297" i="6"/>
  <c r="H297" i="6"/>
  <c r="G297" i="6"/>
  <c r="M296" i="6"/>
  <c r="L296" i="6"/>
  <c r="K296" i="6"/>
  <c r="J296" i="6"/>
  <c r="I296" i="6"/>
  <c r="H296" i="6"/>
  <c r="G296" i="6"/>
  <c r="M295" i="6"/>
  <c r="L295" i="6"/>
  <c r="K295" i="6"/>
  <c r="J295" i="6"/>
  <c r="I295" i="6"/>
  <c r="H295" i="6"/>
  <c r="G295" i="6"/>
  <c r="M294" i="6"/>
  <c r="L294" i="6"/>
  <c r="K294" i="6"/>
  <c r="J294" i="6"/>
  <c r="I294" i="6"/>
  <c r="H294" i="6"/>
  <c r="G294" i="6"/>
  <c r="M293" i="6"/>
  <c r="L293" i="6"/>
  <c r="K293" i="6"/>
  <c r="J293" i="6"/>
  <c r="I293" i="6"/>
  <c r="H293" i="6"/>
  <c r="G293" i="6"/>
  <c r="M292" i="6"/>
  <c r="L292" i="6"/>
  <c r="K292" i="6"/>
  <c r="J292" i="6"/>
  <c r="I292" i="6"/>
  <c r="H292" i="6"/>
  <c r="G292" i="6"/>
  <c r="M291" i="6"/>
  <c r="L291" i="6"/>
  <c r="K291" i="6"/>
  <c r="J291" i="6"/>
  <c r="I291" i="6"/>
  <c r="H291" i="6"/>
  <c r="G291" i="6"/>
  <c r="M290" i="6"/>
  <c r="L290" i="6"/>
  <c r="K290" i="6"/>
  <c r="J290" i="6"/>
  <c r="I290" i="6"/>
  <c r="H290" i="6"/>
  <c r="G290" i="6"/>
  <c r="M289" i="6"/>
  <c r="L289" i="6"/>
  <c r="K289" i="6"/>
  <c r="J289" i="6"/>
  <c r="I289" i="6"/>
  <c r="H289" i="6"/>
  <c r="G289" i="6"/>
  <c r="M288" i="6"/>
  <c r="L288" i="6"/>
  <c r="K288" i="6"/>
  <c r="J288" i="6"/>
  <c r="I288" i="6"/>
  <c r="H288" i="6"/>
  <c r="G288" i="6"/>
  <c r="M287" i="6"/>
  <c r="L287" i="6"/>
  <c r="K287" i="6"/>
  <c r="J287" i="6"/>
  <c r="I287" i="6"/>
  <c r="H287" i="6"/>
  <c r="G287" i="6"/>
  <c r="M286" i="6"/>
  <c r="L286" i="6"/>
  <c r="K286" i="6"/>
  <c r="J286" i="6"/>
  <c r="I286" i="6"/>
  <c r="H286" i="6"/>
  <c r="G286" i="6"/>
  <c r="M285" i="6"/>
  <c r="L285" i="6"/>
  <c r="K285" i="6"/>
  <c r="J285" i="6"/>
  <c r="I285" i="6"/>
  <c r="H285" i="6"/>
  <c r="G285" i="6"/>
  <c r="M284" i="6"/>
  <c r="L284" i="6"/>
  <c r="K284" i="6"/>
  <c r="J284" i="6"/>
  <c r="I284" i="6"/>
  <c r="H284" i="6"/>
  <c r="G284" i="6"/>
  <c r="M283" i="6"/>
  <c r="L283" i="6"/>
  <c r="K283" i="6"/>
  <c r="J283" i="6"/>
  <c r="I283" i="6"/>
  <c r="H283" i="6"/>
  <c r="G283" i="6"/>
  <c r="M282" i="6"/>
  <c r="L282" i="6"/>
  <c r="K282" i="6"/>
  <c r="J282" i="6"/>
  <c r="I282" i="6"/>
  <c r="H282" i="6"/>
  <c r="G282" i="6"/>
  <c r="M281" i="6"/>
  <c r="L281" i="6"/>
  <c r="K281" i="6"/>
  <c r="J281" i="6"/>
  <c r="I281" i="6"/>
  <c r="H281" i="6"/>
  <c r="G281" i="6"/>
  <c r="M280" i="6"/>
  <c r="L280" i="6"/>
  <c r="K280" i="6"/>
  <c r="J280" i="6"/>
  <c r="I280" i="6"/>
  <c r="H280" i="6"/>
  <c r="G280" i="6"/>
  <c r="M279" i="6"/>
  <c r="L279" i="6"/>
  <c r="K279" i="6"/>
  <c r="J279" i="6"/>
  <c r="I279" i="6"/>
  <c r="H279" i="6"/>
  <c r="G279" i="6"/>
  <c r="M278" i="6"/>
  <c r="L278" i="6"/>
  <c r="K278" i="6"/>
  <c r="J278" i="6"/>
  <c r="I278" i="6"/>
  <c r="H278" i="6"/>
  <c r="G278" i="6"/>
  <c r="M277" i="6"/>
  <c r="L277" i="6"/>
  <c r="K277" i="6"/>
  <c r="J277" i="6"/>
  <c r="I277" i="6"/>
  <c r="H277" i="6"/>
  <c r="G277" i="6"/>
  <c r="M276" i="6"/>
  <c r="L276" i="6"/>
  <c r="K276" i="6"/>
  <c r="J276" i="6"/>
  <c r="I276" i="6"/>
  <c r="H276" i="6"/>
  <c r="G276" i="6"/>
  <c r="M275" i="6"/>
  <c r="L275" i="6"/>
  <c r="K275" i="6"/>
  <c r="J275" i="6"/>
  <c r="I275" i="6"/>
  <c r="H275" i="6"/>
  <c r="G275" i="6"/>
  <c r="M274" i="6"/>
  <c r="L274" i="6"/>
  <c r="K274" i="6"/>
  <c r="J274" i="6"/>
  <c r="I274" i="6"/>
  <c r="H274" i="6"/>
  <c r="G274" i="6"/>
  <c r="M273" i="6"/>
  <c r="L273" i="6"/>
  <c r="K273" i="6"/>
  <c r="J273" i="6"/>
  <c r="I273" i="6"/>
  <c r="H273" i="6"/>
  <c r="G273" i="6"/>
  <c r="M272" i="6"/>
  <c r="L272" i="6"/>
  <c r="K272" i="6"/>
  <c r="J272" i="6"/>
  <c r="I272" i="6"/>
  <c r="H272" i="6"/>
  <c r="G272" i="6"/>
  <c r="M271" i="6"/>
  <c r="L271" i="6"/>
  <c r="K271" i="6"/>
  <c r="J271" i="6"/>
  <c r="I271" i="6"/>
  <c r="H271" i="6"/>
  <c r="G271" i="6"/>
  <c r="M270" i="6"/>
  <c r="L270" i="6"/>
  <c r="K270" i="6"/>
  <c r="J270" i="6"/>
  <c r="I270" i="6"/>
  <c r="H270" i="6"/>
  <c r="G270" i="6"/>
  <c r="M269" i="6"/>
  <c r="L269" i="6"/>
  <c r="K269" i="6"/>
  <c r="J269" i="6"/>
  <c r="I269" i="6"/>
  <c r="H269" i="6"/>
  <c r="G269" i="6"/>
  <c r="M268" i="6"/>
  <c r="L268" i="6"/>
  <c r="K268" i="6"/>
  <c r="J268" i="6"/>
  <c r="I268" i="6"/>
  <c r="H268" i="6"/>
  <c r="G268" i="6"/>
  <c r="M267" i="6"/>
  <c r="L267" i="6"/>
  <c r="K267" i="6"/>
  <c r="J267" i="6"/>
  <c r="I267" i="6"/>
  <c r="H267" i="6"/>
  <c r="G267" i="6"/>
  <c r="M266" i="6"/>
  <c r="L266" i="6"/>
  <c r="K266" i="6"/>
  <c r="J266" i="6"/>
  <c r="I266" i="6"/>
  <c r="H266" i="6"/>
  <c r="G266" i="6"/>
  <c r="M265" i="6"/>
  <c r="L265" i="6"/>
  <c r="K265" i="6"/>
  <c r="J265" i="6"/>
  <c r="I265" i="6"/>
  <c r="H265" i="6"/>
  <c r="G265" i="6"/>
  <c r="M264" i="6"/>
  <c r="L264" i="6"/>
  <c r="K264" i="6"/>
  <c r="J264" i="6"/>
  <c r="I264" i="6"/>
  <c r="H264" i="6"/>
  <c r="G264" i="6"/>
  <c r="M263" i="6"/>
  <c r="L263" i="6"/>
  <c r="K263" i="6"/>
  <c r="J263" i="6"/>
  <c r="I263" i="6"/>
  <c r="H263" i="6"/>
  <c r="G263" i="6"/>
  <c r="M262" i="6"/>
  <c r="L262" i="6"/>
  <c r="K262" i="6"/>
  <c r="J262" i="6"/>
  <c r="I262" i="6"/>
  <c r="H262" i="6"/>
  <c r="G262" i="6"/>
  <c r="M261" i="6"/>
  <c r="L261" i="6"/>
  <c r="K261" i="6"/>
  <c r="J261" i="6"/>
  <c r="I261" i="6"/>
  <c r="H261" i="6"/>
  <c r="G261" i="6"/>
  <c r="M260" i="6"/>
  <c r="L260" i="6"/>
  <c r="K260" i="6"/>
  <c r="J260" i="6"/>
  <c r="I260" i="6"/>
  <c r="H260" i="6"/>
  <c r="G260" i="6"/>
  <c r="M259" i="6"/>
  <c r="L259" i="6"/>
  <c r="K259" i="6"/>
  <c r="J259" i="6"/>
  <c r="I259" i="6"/>
  <c r="H259" i="6"/>
  <c r="G259" i="6"/>
  <c r="M258" i="6"/>
  <c r="L258" i="6"/>
  <c r="K258" i="6"/>
  <c r="J258" i="6"/>
  <c r="I258" i="6"/>
  <c r="H258" i="6"/>
  <c r="G258" i="6"/>
  <c r="M257" i="6"/>
  <c r="L257" i="6"/>
  <c r="K257" i="6"/>
  <c r="J257" i="6"/>
  <c r="I257" i="6"/>
  <c r="H257" i="6"/>
  <c r="G257" i="6"/>
  <c r="M256" i="6"/>
  <c r="L256" i="6"/>
  <c r="K256" i="6"/>
  <c r="J256" i="6"/>
  <c r="I256" i="6"/>
  <c r="H256" i="6"/>
  <c r="G256" i="6"/>
  <c r="M255" i="6"/>
  <c r="L255" i="6"/>
  <c r="K255" i="6"/>
  <c r="J255" i="6"/>
  <c r="I255" i="6"/>
  <c r="H255" i="6"/>
  <c r="G255" i="6"/>
  <c r="M254" i="6"/>
  <c r="L254" i="6"/>
  <c r="K254" i="6"/>
  <c r="J254" i="6"/>
  <c r="I254" i="6"/>
  <c r="H254" i="6"/>
  <c r="G254" i="6"/>
  <c r="M253" i="6"/>
  <c r="L253" i="6"/>
  <c r="K253" i="6"/>
  <c r="J253" i="6"/>
  <c r="I253" i="6"/>
  <c r="H253" i="6"/>
  <c r="G253" i="6"/>
  <c r="M252" i="6"/>
  <c r="L252" i="6"/>
  <c r="K252" i="6"/>
  <c r="J252" i="6"/>
  <c r="I252" i="6"/>
  <c r="H252" i="6"/>
  <c r="G252" i="6"/>
  <c r="M251" i="6"/>
  <c r="L251" i="6"/>
  <c r="K251" i="6"/>
  <c r="J251" i="6"/>
  <c r="I251" i="6"/>
  <c r="H251" i="6"/>
  <c r="G251" i="6"/>
  <c r="M250" i="6"/>
  <c r="L250" i="6"/>
  <c r="K250" i="6"/>
  <c r="J250" i="6"/>
  <c r="I250" i="6"/>
  <c r="H250" i="6"/>
  <c r="G250" i="6"/>
  <c r="M249" i="6"/>
  <c r="L249" i="6"/>
  <c r="K249" i="6"/>
  <c r="J249" i="6"/>
  <c r="I249" i="6"/>
  <c r="H249" i="6"/>
  <c r="G249" i="6"/>
  <c r="M248" i="6"/>
  <c r="L248" i="6"/>
  <c r="K248" i="6"/>
  <c r="J248" i="6"/>
  <c r="I248" i="6"/>
  <c r="H248" i="6"/>
  <c r="G248" i="6"/>
  <c r="M247" i="6"/>
  <c r="L247" i="6"/>
  <c r="K247" i="6"/>
  <c r="J247" i="6"/>
  <c r="I247" i="6"/>
  <c r="H247" i="6"/>
  <c r="G247" i="6"/>
  <c r="M246" i="6"/>
  <c r="L246" i="6"/>
  <c r="K246" i="6"/>
  <c r="J246" i="6"/>
  <c r="I246" i="6"/>
  <c r="H246" i="6"/>
  <c r="G246" i="6"/>
  <c r="M245" i="6"/>
  <c r="L245" i="6"/>
  <c r="K245" i="6"/>
  <c r="J245" i="6"/>
  <c r="I245" i="6"/>
  <c r="H245" i="6"/>
  <c r="G245" i="6"/>
  <c r="M244" i="6"/>
  <c r="L244" i="6"/>
  <c r="K244" i="6"/>
  <c r="J244" i="6"/>
  <c r="I244" i="6"/>
  <c r="H244" i="6"/>
  <c r="G244" i="6"/>
  <c r="M243" i="6"/>
  <c r="L243" i="6"/>
  <c r="K243" i="6"/>
  <c r="J243" i="6"/>
  <c r="I243" i="6"/>
  <c r="H243" i="6"/>
  <c r="G243" i="6"/>
  <c r="M242" i="6"/>
  <c r="L242" i="6"/>
  <c r="K242" i="6"/>
  <c r="J242" i="6"/>
  <c r="I242" i="6"/>
  <c r="H242" i="6"/>
  <c r="G242" i="6"/>
  <c r="M241" i="6"/>
  <c r="L241" i="6"/>
  <c r="K241" i="6"/>
  <c r="J241" i="6"/>
  <c r="I241" i="6"/>
  <c r="H241" i="6"/>
  <c r="G241" i="6"/>
  <c r="M240" i="6"/>
  <c r="L240" i="6"/>
  <c r="K240" i="6"/>
  <c r="J240" i="6"/>
  <c r="I240" i="6"/>
  <c r="H240" i="6"/>
  <c r="G240" i="6"/>
  <c r="M239" i="6"/>
  <c r="L239" i="6"/>
  <c r="K239" i="6"/>
  <c r="J239" i="6"/>
  <c r="I239" i="6"/>
  <c r="H239" i="6"/>
  <c r="G239" i="6"/>
  <c r="M238" i="6"/>
  <c r="L238" i="6"/>
  <c r="K238" i="6"/>
  <c r="J238" i="6"/>
  <c r="I238" i="6"/>
  <c r="H238" i="6"/>
  <c r="G238" i="6"/>
  <c r="M237" i="6"/>
  <c r="L237" i="6"/>
  <c r="K237" i="6"/>
  <c r="J237" i="6"/>
  <c r="I237" i="6"/>
  <c r="H237" i="6"/>
  <c r="G237" i="6"/>
  <c r="M236" i="6"/>
  <c r="L236" i="6"/>
  <c r="K236" i="6"/>
  <c r="J236" i="6"/>
  <c r="I236" i="6"/>
  <c r="H236" i="6"/>
  <c r="G236" i="6"/>
  <c r="M235" i="6"/>
  <c r="L235" i="6"/>
  <c r="K235" i="6"/>
  <c r="J235" i="6"/>
  <c r="I235" i="6"/>
  <c r="H235" i="6"/>
  <c r="G235" i="6"/>
  <c r="M234" i="6"/>
  <c r="L234" i="6"/>
  <c r="K234" i="6"/>
  <c r="J234" i="6"/>
  <c r="I234" i="6"/>
  <c r="H234" i="6"/>
  <c r="G234" i="6"/>
  <c r="M233" i="6"/>
  <c r="L233" i="6"/>
  <c r="K233" i="6"/>
  <c r="J233" i="6"/>
  <c r="I233" i="6"/>
  <c r="H233" i="6"/>
  <c r="G233" i="6"/>
  <c r="M232" i="6"/>
  <c r="L232" i="6"/>
  <c r="K232" i="6"/>
  <c r="J232" i="6"/>
  <c r="I232" i="6"/>
  <c r="H232" i="6"/>
  <c r="G232" i="6"/>
  <c r="M231" i="6"/>
  <c r="L231" i="6"/>
  <c r="K231" i="6"/>
  <c r="J231" i="6"/>
  <c r="I231" i="6"/>
  <c r="H231" i="6"/>
  <c r="G231" i="6"/>
  <c r="M230" i="6"/>
  <c r="L230" i="6"/>
  <c r="K230" i="6"/>
  <c r="J230" i="6"/>
  <c r="I230" i="6"/>
  <c r="H230" i="6"/>
  <c r="G230" i="6"/>
  <c r="M229" i="6"/>
  <c r="L229" i="6"/>
  <c r="K229" i="6"/>
  <c r="J229" i="6"/>
  <c r="I229" i="6"/>
  <c r="H229" i="6"/>
  <c r="G229" i="6"/>
  <c r="M228" i="6"/>
  <c r="L228" i="6"/>
  <c r="K228" i="6"/>
  <c r="J228" i="6"/>
  <c r="I228" i="6"/>
  <c r="H228" i="6"/>
  <c r="G228" i="6"/>
  <c r="M227" i="6"/>
  <c r="L227" i="6"/>
  <c r="K227" i="6"/>
  <c r="J227" i="6"/>
  <c r="I227" i="6"/>
  <c r="H227" i="6"/>
  <c r="G227" i="6"/>
  <c r="M226" i="6"/>
  <c r="L226" i="6"/>
  <c r="K226" i="6"/>
  <c r="J226" i="6"/>
  <c r="I226" i="6"/>
  <c r="H226" i="6"/>
  <c r="G226" i="6"/>
  <c r="M225" i="6"/>
  <c r="L225" i="6"/>
  <c r="K225" i="6"/>
  <c r="J225" i="6"/>
  <c r="I225" i="6"/>
  <c r="H225" i="6"/>
  <c r="G225" i="6"/>
  <c r="M224" i="6"/>
  <c r="L224" i="6"/>
  <c r="K224" i="6"/>
  <c r="J224" i="6"/>
  <c r="I224" i="6"/>
  <c r="H224" i="6"/>
  <c r="G224" i="6"/>
  <c r="M223" i="6"/>
  <c r="L223" i="6"/>
  <c r="K223" i="6"/>
  <c r="J223" i="6"/>
  <c r="I223" i="6"/>
  <c r="H223" i="6"/>
  <c r="G223" i="6"/>
  <c r="M222" i="6"/>
  <c r="L222" i="6"/>
  <c r="K222" i="6"/>
  <c r="J222" i="6"/>
  <c r="I222" i="6"/>
  <c r="H222" i="6"/>
  <c r="G222" i="6"/>
  <c r="M221" i="6"/>
  <c r="L221" i="6"/>
  <c r="K221" i="6"/>
  <c r="J221" i="6"/>
  <c r="I221" i="6"/>
  <c r="H221" i="6"/>
  <c r="G221" i="6"/>
  <c r="M220" i="6"/>
  <c r="L220" i="6"/>
  <c r="K220" i="6"/>
  <c r="J220" i="6"/>
  <c r="I220" i="6"/>
  <c r="H220" i="6"/>
  <c r="G220" i="6"/>
  <c r="M219" i="6"/>
  <c r="L219" i="6"/>
  <c r="K219" i="6"/>
  <c r="J219" i="6"/>
  <c r="I219" i="6"/>
  <c r="H219" i="6"/>
  <c r="G219" i="6"/>
  <c r="M218" i="6"/>
  <c r="L218" i="6"/>
  <c r="K218" i="6"/>
  <c r="J218" i="6"/>
  <c r="I218" i="6"/>
  <c r="H218" i="6"/>
  <c r="G218" i="6"/>
  <c r="M217" i="6"/>
  <c r="L217" i="6"/>
  <c r="K217" i="6"/>
  <c r="J217" i="6"/>
  <c r="I217" i="6"/>
  <c r="H217" i="6"/>
  <c r="G217" i="6"/>
  <c r="M216" i="6"/>
  <c r="L216" i="6"/>
  <c r="K216" i="6"/>
  <c r="J216" i="6"/>
  <c r="I216" i="6"/>
  <c r="H216" i="6"/>
  <c r="G216" i="6"/>
  <c r="M215" i="6"/>
  <c r="L215" i="6"/>
  <c r="K215" i="6"/>
  <c r="J215" i="6"/>
  <c r="I215" i="6"/>
  <c r="H215" i="6"/>
  <c r="G215" i="6"/>
  <c r="M214" i="6"/>
  <c r="L214" i="6"/>
  <c r="K214" i="6"/>
  <c r="J214" i="6"/>
  <c r="I214" i="6"/>
  <c r="H214" i="6"/>
  <c r="G214" i="6"/>
  <c r="M213" i="6"/>
  <c r="L213" i="6"/>
  <c r="K213" i="6"/>
  <c r="J213" i="6"/>
  <c r="I213" i="6"/>
  <c r="H213" i="6"/>
  <c r="G213" i="6"/>
  <c r="M212" i="6"/>
  <c r="L212" i="6"/>
  <c r="K212" i="6"/>
  <c r="J212" i="6"/>
  <c r="I212" i="6"/>
  <c r="H212" i="6"/>
  <c r="G212" i="6"/>
  <c r="M211" i="6"/>
  <c r="L211" i="6"/>
  <c r="K211" i="6"/>
  <c r="J211" i="6"/>
  <c r="I211" i="6"/>
  <c r="H211" i="6"/>
  <c r="G211" i="6"/>
  <c r="M210" i="6"/>
  <c r="L210" i="6"/>
  <c r="K210" i="6"/>
  <c r="J210" i="6"/>
  <c r="I210" i="6"/>
  <c r="H210" i="6"/>
  <c r="G210" i="6"/>
  <c r="M209" i="6"/>
  <c r="L209" i="6"/>
  <c r="K209" i="6"/>
  <c r="J209" i="6"/>
  <c r="I209" i="6"/>
  <c r="H209" i="6"/>
  <c r="G209" i="6"/>
  <c r="M208" i="6"/>
  <c r="L208" i="6"/>
  <c r="K208" i="6"/>
  <c r="J208" i="6"/>
  <c r="I208" i="6"/>
  <c r="H208" i="6"/>
  <c r="G208" i="6"/>
  <c r="M207" i="6"/>
  <c r="L207" i="6"/>
  <c r="K207" i="6"/>
  <c r="J207" i="6"/>
  <c r="I207" i="6"/>
  <c r="H207" i="6"/>
  <c r="G207" i="6"/>
  <c r="M206" i="6"/>
  <c r="L206" i="6"/>
  <c r="K206" i="6"/>
  <c r="J206" i="6"/>
  <c r="I206" i="6"/>
  <c r="H206" i="6"/>
  <c r="G206" i="6"/>
  <c r="M205" i="6"/>
  <c r="L205" i="6"/>
  <c r="K205" i="6"/>
  <c r="J205" i="6"/>
  <c r="I205" i="6"/>
  <c r="H205" i="6"/>
  <c r="G205" i="6"/>
  <c r="M204" i="6"/>
  <c r="L204" i="6"/>
  <c r="K204" i="6"/>
  <c r="J204" i="6"/>
  <c r="I204" i="6"/>
  <c r="H204" i="6"/>
  <c r="G204" i="6"/>
  <c r="M203" i="6"/>
  <c r="L203" i="6"/>
  <c r="K203" i="6"/>
  <c r="J203" i="6"/>
  <c r="I203" i="6"/>
  <c r="H203" i="6"/>
  <c r="G203" i="6"/>
  <c r="M202" i="6"/>
  <c r="L202" i="6"/>
  <c r="K202" i="6"/>
  <c r="J202" i="6"/>
  <c r="I202" i="6"/>
  <c r="H202" i="6"/>
  <c r="G202" i="6"/>
  <c r="M201" i="6"/>
  <c r="L201" i="6"/>
  <c r="K201" i="6"/>
  <c r="J201" i="6"/>
  <c r="I201" i="6"/>
  <c r="H201" i="6"/>
  <c r="G201" i="6"/>
  <c r="M200" i="6"/>
  <c r="L200" i="6"/>
  <c r="K200" i="6"/>
  <c r="J200" i="6"/>
  <c r="I200" i="6"/>
  <c r="H200" i="6"/>
  <c r="G200" i="6"/>
  <c r="M199" i="6"/>
  <c r="L199" i="6"/>
  <c r="K199" i="6"/>
  <c r="J199" i="6"/>
  <c r="I199" i="6"/>
  <c r="H199" i="6"/>
  <c r="G199" i="6"/>
  <c r="M198" i="6"/>
  <c r="L198" i="6"/>
  <c r="K198" i="6"/>
  <c r="J198" i="6"/>
  <c r="I198" i="6"/>
  <c r="H198" i="6"/>
  <c r="G198" i="6"/>
  <c r="M197" i="6"/>
  <c r="L197" i="6"/>
  <c r="K197" i="6"/>
  <c r="J197" i="6"/>
  <c r="I197" i="6"/>
  <c r="H197" i="6"/>
  <c r="G197" i="6"/>
  <c r="M196" i="6"/>
  <c r="L196" i="6"/>
  <c r="K196" i="6"/>
  <c r="J196" i="6"/>
  <c r="I196" i="6"/>
  <c r="H196" i="6"/>
  <c r="G196" i="6"/>
  <c r="M195" i="6"/>
  <c r="L195" i="6"/>
  <c r="K195" i="6"/>
  <c r="J195" i="6"/>
  <c r="I195" i="6"/>
  <c r="H195" i="6"/>
  <c r="G195" i="6"/>
  <c r="M194" i="6"/>
  <c r="L194" i="6"/>
  <c r="K194" i="6"/>
  <c r="J194" i="6"/>
  <c r="I194" i="6"/>
  <c r="H194" i="6"/>
  <c r="G194" i="6"/>
  <c r="M193" i="6"/>
  <c r="L193" i="6"/>
  <c r="K193" i="6"/>
  <c r="J193" i="6"/>
  <c r="I193" i="6"/>
  <c r="H193" i="6"/>
  <c r="G193" i="6"/>
  <c r="M192" i="6"/>
  <c r="L192" i="6"/>
  <c r="K192" i="6"/>
  <c r="J192" i="6"/>
  <c r="I192" i="6"/>
  <c r="H192" i="6"/>
  <c r="G192" i="6"/>
  <c r="M191" i="6"/>
  <c r="L191" i="6"/>
  <c r="K191" i="6"/>
  <c r="J191" i="6"/>
  <c r="I191" i="6"/>
  <c r="H191" i="6"/>
  <c r="G191" i="6"/>
  <c r="M190" i="6"/>
  <c r="L190" i="6"/>
  <c r="K190" i="6"/>
  <c r="J190" i="6"/>
  <c r="I190" i="6"/>
  <c r="H190" i="6"/>
  <c r="G190" i="6"/>
  <c r="M189" i="6"/>
  <c r="L189" i="6"/>
  <c r="K189" i="6"/>
  <c r="J189" i="6"/>
  <c r="I189" i="6"/>
  <c r="H189" i="6"/>
  <c r="G189" i="6"/>
  <c r="M188" i="6"/>
  <c r="L188" i="6"/>
  <c r="K188" i="6"/>
  <c r="J188" i="6"/>
  <c r="I188" i="6"/>
  <c r="H188" i="6"/>
  <c r="G188" i="6"/>
  <c r="M187" i="6"/>
  <c r="L187" i="6"/>
  <c r="K187" i="6"/>
  <c r="J187" i="6"/>
  <c r="I187" i="6"/>
  <c r="H187" i="6"/>
  <c r="G187" i="6"/>
  <c r="M186" i="6"/>
  <c r="L186" i="6"/>
  <c r="K186" i="6"/>
  <c r="J186" i="6"/>
  <c r="I186" i="6"/>
  <c r="H186" i="6"/>
  <c r="G186" i="6"/>
  <c r="M185" i="6"/>
  <c r="L185" i="6"/>
  <c r="K185" i="6"/>
  <c r="J185" i="6"/>
  <c r="I185" i="6"/>
  <c r="H185" i="6"/>
  <c r="G185" i="6"/>
  <c r="M184" i="6"/>
  <c r="L184" i="6"/>
  <c r="K184" i="6"/>
  <c r="J184" i="6"/>
  <c r="I184" i="6"/>
  <c r="H184" i="6"/>
  <c r="G184" i="6"/>
  <c r="M183" i="6"/>
  <c r="L183" i="6"/>
  <c r="K183" i="6"/>
  <c r="J183" i="6"/>
  <c r="I183" i="6"/>
  <c r="H183" i="6"/>
  <c r="G183" i="6"/>
  <c r="M182" i="6"/>
  <c r="L182" i="6"/>
  <c r="K182" i="6"/>
  <c r="J182" i="6"/>
  <c r="I182" i="6"/>
  <c r="H182" i="6"/>
  <c r="G182" i="6"/>
  <c r="M181" i="6"/>
  <c r="L181" i="6"/>
  <c r="K181" i="6"/>
  <c r="J181" i="6"/>
  <c r="I181" i="6"/>
  <c r="H181" i="6"/>
  <c r="G181" i="6"/>
  <c r="M180" i="6"/>
  <c r="L180" i="6"/>
  <c r="K180" i="6"/>
  <c r="J180" i="6"/>
  <c r="I180" i="6"/>
  <c r="H180" i="6"/>
  <c r="G180" i="6"/>
  <c r="M179" i="6"/>
  <c r="L179" i="6"/>
  <c r="K179" i="6"/>
  <c r="J179" i="6"/>
  <c r="I179" i="6"/>
  <c r="H179" i="6"/>
  <c r="G179" i="6"/>
  <c r="M178" i="6"/>
  <c r="L178" i="6"/>
  <c r="K178" i="6"/>
  <c r="J178" i="6"/>
  <c r="I178" i="6"/>
  <c r="H178" i="6"/>
  <c r="G178" i="6"/>
  <c r="M177" i="6"/>
  <c r="L177" i="6"/>
  <c r="K177" i="6"/>
  <c r="J177" i="6"/>
  <c r="I177" i="6"/>
  <c r="H177" i="6"/>
  <c r="G177" i="6"/>
  <c r="M176" i="6"/>
  <c r="L176" i="6"/>
  <c r="K176" i="6"/>
  <c r="J176" i="6"/>
  <c r="I176" i="6"/>
  <c r="H176" i="6"/>
  <c r="G176" i="6"/>
  <c r="M175" i="6"/>
  <c r="L175" i="6"/>
  <c r="K175" i="6"/>
  <c r="J175" i="6"/>
  <c r="I175" i="6"/>
  <c r="H175" i="6"/>
  <c r="G175" i="6"/>
  <c r="M174" i="6"/>
  <c r="L174" i="6"/>
  <c r="K174" i="6"/>
  <c r="J174" i="6"/>
  <c r="I174" i="6"/>
  <c r="H174" i="6"/>
  <c r="G174" i="6"/>
  <c r="M173" i="6"/>
  <c r="L173" i="6"/>
  <c r="K173" i="6"/>
  <c r="J173" i="6"/>
  <c r="I173" i="6"/>
  <c r="H173" i="6"/>
  <c r="G173" i="6"/>
  <c r="M172" i="6"/>
  <c r="L172" i="6"/>
  <c r="K172" i="6"/>
  <c r="J172" i="6"/>
  <c r="I172" i="6"/>
  <c r="H172" i="6"/>
  <c r="G172" i="6"/>
  <c r="M171" i="6"/>
  <c r="L171" i="6"/>
  <c r="K171" i="6"/>
  <c r="J171" i="6"/>
  <c r="I171" i="6"/>
  <c r="H171" i="6"/>
  <c r="G171" i="6"/>
  <c r="M170" i="6"/>
  <c r="L170" i="6"/>
  <c r="K170" i="6"/>
  <c r="J170" i="6"/>
  <c r="I170" i="6"/>
  <c r="H170" i="6"/>
  <c r="G170" i="6"/>
  <c r="M169" i="6"/>
  <c r="L169" i="6"/>
  <c r="K169" i="6"/>
  <c r="J169" i="6"/>
  <c r="I169" i="6"/>
  <c r="H169" i="6"/>
  <c r="G169" i="6"/>
  <c r="M168" i="6"/>
  <c r="L168" i="6"/>
  <c r="K168" i="6"/>
  <c r="J168" i="6"/>
  <c r="I168" i="6"/>
  <c r="H168" i="6"/>
  <c r="G168" i="6"/>
  <c r="M167" i="6"/>
  <c r="L167" i="6"/>
  <c r="K167" i="6"/>
  <c r="J167" i="6"/>
  <c r="I167" i="6"/>
  <c r="H167" i="6"/>
  <c r="G167" i="6"/>
  <c r="M166" i="6"/>
  <c r="L166" i="6"/>
  <c r="K166" i="6"/>
  <c r="J166" i="6"/>
  <c r="I166" i="6"/>
  <c r="H166" i="6"/>
  <c r="G166" i="6"/>
  <c r="M165" i="6"/>
  <c r="L165" i="6"/>
  <c r="K165" i="6"/>
  <c r="J165" i="6"/>
  <c r="I165" i="6"/>
  <c r="H165" i="6"/>
  <c r="G165" i="6"/>
  <c r="M164" i="6"/>
  <c r="L164" i="6"/>
  <c r="K164" i="6"/>
  <c r="J164" i="6"/>
  <c r="I164" i="6"/>
  <c r="H164" i="6"/>
  <c r="G164" i="6"/>
  <c r="M163" i="6"/>
  <c r="L163" i="6"/>
  <c r="K163" i="6"/>
  <c r="J163" i="6"/>
  <c r="I163" i="6"/>
  <c r="H163" i="6"/>
  <c r="G163" i="6"/>
  <c r="M162" i="6"/>
  <c r="L162" i="6"/>
  <c r="K162" i="6"/>
  <c r="J162" i="6"/>
  <c r="I162" i="6"/>
  <c r="H162" i="6"/>
  <c r="G162" i="6"/>
  <c r="M161" i="6"/>
  <c r="L161" i="6"/>
  <c r="K161" i="6"/>
  <c r="J161" i="6"/>
  <c r="I161" i="6"/>
  <c r="H161" i="6"/>
  <c r="G161" i="6"/>
  <c r="M160" i="6"/>
  <c r="L160" i="6"/>
  <c r="K160" i="6"/>
  <c r="J160" i="6"/>
  <c r="I160" i="6"/>
  <c r="H160" i="6"/>
  <c r="G160" i="6"/>
  <c r="M159" i="6"/>
  <c r="L159" i="6"/>
  <c r="K159" i="6"/>
  <c r="J159" i="6"/>
  <c r="I159" i="6"/>
  <c r="H159" i="6"/>
  <c r="G159" i="6"/>
  <c r="M158" i="6"/>
  <c r="L158" i="6"/>
  <c r="K158" i="6"/>
  <c r="J158" i="6"/>
  <c r="I158" i="6"/>
  <c r="H158" i="6"/>
  <c r="G158" i="6"/>
  <c r="M157" i="6"/>
  <c r="L157" i="6"/>
  <c r="K157" i="6"/>
  <c r="J157" i="6"/>
  <c r="I157" i="6"/>
  <c r="H157" i="6"/>
  <c r="G157" i="6"/>
  <c r="M156" i="6"/>
  <c r="L156" i="6"/>
  <c r="K156" i="6"/>
  <c r="J156" i="6"/>
  <c r="I156" i="6"/>
  <c r="H156" i="6"/>
  <c r="G156" i="6"/>
  <c r="M155" i="6"/>
  <c r="L155" i="6"/>
  <c r="K155" i="6"/>
  <c r="J155" i="6"/>
  <c r="I155" i="6"/>
  <c r="H155" i="6"/>
  <c r="G155" i="6"/>
  <c r="M154" i="6"/>
  <c r="L154" i="6"/>
  <c r="K154" i="6"/>
  <c r="J154" i="6"/>
  <c r="I154" i="6"/>
  <c r="H154" i="6"/>
  <c r="G154" i="6"/>
  <c r="M153" i="6"/>
  <c r="L153" i="6"/>
  <c r="K153" i="6"/>
  <c r="J153" i="6"/>
  <c r="I153" i="6"/>
  <c r="H153" i="6"/>
  <c r="G153" i="6"/>
  <c r="M152" i="6"/>
  <c r="L152" i="6"/>
  <c r="K152" i="6"/>
  <c r="J152" i="6"/>
  <c r="I152" i="6"/>
  <c r="H152" i="6"/>
  <c r="G152" i="6"/>
  <c r="M151" i="6"/>
  <c r="L151" i="6"/>
  <c r="K151" i="6"/>
  <c r="J151" i="6"/>
  <c r="I151" i="6"/>
  <c r="H151" i="6"/>
  <c r="G151" i="6"/>
  <c r="M150" i="6"/>
  <c r="L150" i="6"/>
  <c r="K150" i="6"/>
  <c r="J150" i="6"/>
  <c r="I150" i="6"/>
  <c r="H150" i="6"/>
  <c r="G150" i="6"/>
  <c r="M149" i="6"/>
  <c r="L149" i="6"/>
  <c r="K149" i="6"/>
  <c r="J149" i="6"/>
  <c r="I149" i="6"/>
  <c r="H149" i="6"/>
  <c r="G149" i="6"/>
  <c r="M148" i="6"/>
  <c r="L148" i="6"/>
  <c r="K148" i="6"/>
  <c r="J148" i="6"/>
  <c r="I148" i="6"/>
  <c r="H148" i="6"/>
  <c r="G148" i="6"/>
  <c r="M147" i="6"/>
  <c r="L147" i="6"/>
  <c r="K147" i="6"/>
  <c r="J147" i="6"/>
  <c r="I147" i="6"/>
  <c r="H147" i="6"/>
  <c r="G147" i="6"/>
  <c r="M146" i="6"/>
  <c r="L146" i="6"/>
  <c r="K146" i="6"/>
  <c r="J146" i="6"/>
  <c r="I146" i="6"/>
  <c r="H146" i="6"/>
  <c r="G146" i="6"/>
  <c r="M145" i="6"/>
  <c r="L145" i="6"/>
  <c r="K145" i="6"/>
  <c r="J145" i="6"/>
  <c r="I145" i="6"/>
  <c r="H145" i="6"/>
  <c r="G145" i="6"/>
  <c r="M144" i="6"/>
  <c r="L144" i="6"/>
  <c r="K144" i="6"/>
  <c r="J144" i="6"/>
  <c r="I144" i="6"/>
  <c r="H144" i="6"/>
  <c r="G144" i="6"/>
  <c r="M143" i="6"/>
  <c r="L143" i="6"/>
  <c r="K143" i="6"/>
  <c r="J143" i="6"/>
  <c r="I143" i="6"/>
  <c r="H143" i="6"/>
  <c r="G143" i="6"/>
  <c r="M142" i="6"/>
  <c r="L142" i="6"/>
  <c r="K142" i="6"/>
  <c r="J142" i="6"/>
  <c r="I142" i="6"/>
  <c r="H142" i="6"/>
  <c r="G142" i="6"/>
  <c r="M141" i="6"/>
  <c r="L141" i="6"/>
  <c r="K141" i="6"/>
  <c r="J141" i="6"/>
  <c r="I141" i="6"/>
  <c r="H141" i="6"/>
  <c r="G141" i="6"/>
  <c r="M140" i="6"/>
  <c r="L140" i="6"/>
  <c r="K140" i="6"/>
  <c r="J140" i="6"/>
  <c r="I140" i="6"/>
  <c r="H140" i="6"/>
  <c r="G140" i="6"/>
  <c r="M139" i="6"/>
  <c r="L139" i="6"/>
  <c r="K139" i="6"/>
  <c r="J139" i="6"/>
  <c r="I139" i="6"/>
  <c r="H139" i="6"/>
  <c r="G139" i="6"/>
  <c r="M138" i="6"/>
  <c r="L138" i="6"/>
  <c r="K138" i="6"/>
  <c r="J138" i="6"/>
  <c r="I138" i="6"/>
  <c r="H138" i="6"/>
  <c r="G138" i="6"/>
  <c r="M137" i="6"/>
  <c r="L137" i="6"/>
  <c r="K137" i="6"/>
  <c r="J137" i="6"/>
  <c r="I137" i="6"/>
  <c r="H137" i="6"/>
  <c r="G137" i="6"/>
  <c r="M136" i="6"/>
  <c r="L136" i="6"/>
  <c r="K136" i="6"/>
  <c r="J136" i="6"/>
  <c r="I136" i="6"/>
  <c r="H136" i="6"/>
  <c r="G136" i="6"/>
  <c r="M135" i="6"/>
  <c r="L135" i="6"/>
  <c r="K135" i="6"/>
  <c r="J135" i="6"/>
  <c r="I135" i="6"/>
  <c r="H135" i="6"/>
  <c r="G135" i="6"/>
  <c r="M134" i="6"/>
  <c r="L134" i="6"/>
  <c r="K134" i="6"/>
  <c r="J134" i="6"/>
  <c r="I134" i="6"/>
  <c r="H134" i="6"/>
  <c r="G134" i="6"/>
  <c r="M133" i="6"/>
  <c r="L133" i="6"/>
  <c r="K133" i="6"/>
  <c r="J133" i="6"/>
  <c r="I133" i="6"/>
  <c r="H133" i="6"/>
  <c r="G133" i="6"/>
  <c r="M132" i="6"/>
  <c r="L132" i="6"/>
  <c r="K132" i="6"/>
  <c r="J132" i="6"/>
  <c r="I132" i="6"/>
  <c r="H132" i="6"/>
  <c r="G132" i="6"/>
  <c r="M131" i="6"/>
  <c r="L131" i="6"/>
  <c r="K131" i="6"/>
  <c r="J131" i="6"/>
  <c r="I131" i="6"/>
  <c r="H131" i="6"/>
  <c r="G131" i="6"/>
  <c r="M130" i="6"/>
  <c r="L130" i="6"/>
  <c r="K130" i="6"/>
  <c r="J130" i="6"/>
  <c r="I130" i="6"/>
  <c r="H130" i="6"/>
  <c r="G130" i="6"/>
  <c r="M129" i="6"/>
  <c r="L129" i="6"/>
  <c r="K129" i="6"/>
  <c r="J129" i="6"/>
  <c r="I129" i="6"/>
  <c r="H129" i="6"/>
  <c r="G129" i="6"/>
  <c r="M128" i="6"/>
  <c r="L128" i="6"/>
  <c r="K128" i="6"/>
  <c r="J128" i="6"/>
  <c r="I128" i="6"/>
  <c r="H128" i="6"/>
  <c r="G128" i="6"/>
  <c r="M127" i="6"/>
  <c r="L127" i="6"/>
  <c r="K127" i="6"/>
  <c r="J127" i="6"/>
  <c r="I127" i="6"/>
  <c r="H127" i="6"/>
  <c r="G127" i="6"/>
  <c r="M126" i="6"/>
  <c r="L126" i="6"/>
  <c r="K126" i="6"/>
  <c r="J126" i="6"/>
  <c r="I126" i="6"/>
  <c r="H126" i="6"/>
  <c r="G126" i="6"/>
  <c r="M125" i="6"/>
  <c r="L125" i="6"/>
  <c r="K125" i="6"/>
  <c r="J125" i="6"/>
  <c r="I125" i="6"/>
  <c r="H125" i="6"/>
  <c r="G125" i="6"/>
  <c r="M124" i="6"/>
  <c r="L124" i="6"/>
  <c r="K124" i="6"/>
  <c r="J124" i="6"/>
  <c r="I124" i="6"/>
  <c r="H124" i="6"/>
  <c r="G124" i="6"/>
  <c r="M123" i="6"/>
  <c r="L123" i="6"/>
  <c r="K123" i="6"/>
  <c r="J123" i="6"/>
  <c r="I123" i="6"/>
  <c r="H123" i="6"/>
  <c r="G123" i="6"/>
  <c r="M122" i="6"/>
  <c r="L122" i="6"/>
  <c r="K122" i="6"/>
  <c r="J122" i="6"/>
  <c r="I122" i="6"/>
  <c r="H122" i="6"/>
  <c r="G122" i="6"/>
  <c r="M121" i="6"/>
  <c r="L121" i="6"/>
  <c r="K121" i="6"/>
  <c r="J121" i="6"/>
  <c r="I121" i="6"/>
  <c r="H121" i="6"/>
  <c r="G121" i="6"/>
  <c r="M120" i="6"/>
  <c r="L120" i="6"/>
  <c r="K120" i="6"/>
  <c r="J120" i="6"/>
  <c r="I120" i="6"/>
  <c r="H120" i="6"/>
  <c r="G120" i="6"/>
  <c r="M119" i="6"/>
  <c r="L119" i="6"/>
  <c r="K119" i="6"/>
  <c r="J119" i="6"/>
  <c r="I119" i="6"/>
  <c r="H119" i="6"/>
  <c r="G119" i="6"/>
  <c r="M118" i="6"/>
  <c r="L118" i="6"/>
  <c r="K118" i="6"/>
  <c r="J118" i="6"/>
  <c r="I118" i="6"/>
  <c r="H118" i="6"/>
  <c r="G118" i="6"/>
  <c r="M117" i="6"/>
  <c r="L117" i="6"/>
  <c r="K117" i="6"/>
  <c r="J117" i="6"/>
  <c r="I117" i="6"/>
  <c r="H117" i="6"/>
  <c r="G117" i="6"/>
  <c r="M116" i="6"/>
  <c r="L116" i="6"/>
  <c r="K116" i="6"/>
  <c r="J116" i="6"/>
  <c r="I116" i="6"/>
  <c r="H116" i="6"/>
  <c r="G116" i="6"/>
  <c r="M115" i="6"/>
  <c r="L115" i="6"/>
  <c r="K115" i="6"/>
  <c r="J115" i="6"/>
  <c r="I115" i="6"/>
  <c r="H115" i="6"/>
  <c r="G115" i="6"/>
  <c r="M114" i="6"/>
  <c r="L114" i="6"/>
  <c r="K114" i="6"/>
  <c r="J114" i="6"/>
  <c r="I114" i="6"/>
  <c r="H114" i="6"/>
  <c r="G114" i="6"/>
  <c r="M113" i="6"/>
  <c r="L113" i="6"/>
  <c r="K113" i="6"/>
  <c r="J113" i="6"/>
  <c r="I113" i="6"/>
  <c r="H113" i="6"/>
  <c r="G113" i="6"/>
  <c r="M112" i="6"/>
  <c r="L112" i="6"/>
  <c r="K112" i="6"/>
  <c r="J112" i="6"/>
  <c r="I112" i="6"/>
  <c r="H112" i="6"/>
  <c r="G112" i="6"/>
  <c r="M111" i="6"/>
  <c r="L111" i="6"/>
  <c r="K111" i="6"/>
  <c r="J111" i="6"/>
  <c r="I111" i="6"/>
  <c r="H111" i="6"/>
  <c r="G111" i="6"/>
  <c r="M110" i="6"/>
  <c r="L110" i="6"/>
  <c r="K110" i="6"/>
  <c r="J110" i="6"/>
  <c r="I110" i="6"/>
  <c r="H110" i="6"/>
  <c r="G110" i="6"/>
  <c r="M109" i="6"/>
  <c r="L109" i="6"/>
  <c r="K109" i="6"/>
  <c r="J109" i="6"/>
  <c r="I109" i="6"/>
  <c r="H109" i="6"/>
  <c r="G109" i="6"/>
  <c r="M108" i="6"/>
  <c r="L108" i="6"/>
  <c r="K108" i="6"/>
  <c r="J108" i="6"/>
  <c r="I108" i="6"/>
  <c r="H108" i="6"/>
  <c r="G108" i="6"/>
  <c r="M107" i="6"/>
  <c r="L107" i="6"/>
  <c r="K107" i="6"/>
  <c r="J107" i="6"/>
  <c r="I107" i="6"/>
  <c r="H107" i="6"/>
  <c r="G107" i="6"/>
  <c r="M106" i="6"/>
  <c r="L106" i="6"/>
  <c r="K106" i="6"/>
  <c r="J106" i="6"/>
  <c r="I106" i="6"/>
  <c r="H106" i="6"/>
  <c r="G106" i="6"/>
  <c r="M105" i="6"/>
  <c r="L105" i="6"/>
  <c r="K105" i="6"/>
  <c r="J105" i="6"/>
  <c r="I105" i="6"/>
  <c r="H105" i="6"/>
  <c r="G105" i="6"/>
  <c r="M104" i="6"/>
  <c r="L104" i="6"/>
  <c r="K104" i="6"/>
  <c r="J104" i="6"/>
  <c r="I104" i="6"/>
  <c r="H104" i="6"/>
  <c r="G104" i="6"/>
  <c r="M103" i="6"/>
  <c r="L103" i="6"/>
  <c r="K103" i="6"/>
  <c r="J103" i="6"/>
  <c r="I103" i="6"/>
  <c r="H103" i="6"/>
  <c r="G103" i="6"/>
  <c r="M102" i="6"/>
  <c r="L102" i="6"/>
  <c r="K102" i="6"/>
  <c r="J102" i="6"/>
  <c r="I102" i="6"/>
  <c r="H102" i="6"/>
  <c r="G102" i="6"/>
  <c r="M101" i="6"/>
  <c r="L101" i="6"/>
  <c r="K101" i="6"/>
  <c r="J101" i="6"/>
  <c r="I101" i="6"/>
  <c r="H101" i="6"/>
  <c r="G101" i="6"/>
  <c r="M100" i="6"/>
  <c r="L100" i="6"/>
  <c r="K100" i="6"/>
  <c r="J100" i="6"/>
  <c r="I100" i="6"/>
  <c r="H100" i="6"/>
  <c r="G100" i="6"/>
  <c r="M99" i="6"/>
  <c r="L99" i="6"/>
  <c r="K99" i="6"/>
  <c r="J99" i="6"/>
  <c r="I99" i="6"/>
  <c r="H99" i="6"/>
  <c r="G99" i="6"/>
  <c r="M98" i="6"/>
  <c r="L98" i="6"/>
  <c r="K98" i="6"/>
  <c r="J98" i="6"/>
  <c r="I98" i="6"/>
  <c r="H98" i="6"/>
  <c r="G98" i="6"/>
  <c r="M97" i="6"/>
  <c r="L97" i="6"/>
  <c r="K97" i="6"/>
  <c r="J97" i="6"/>
  <c r="I97" i="6"/>
  <c r="H97" i="6"/>
  <c r="G97" i="6"/>
  <c r="M96" i="6"/>
  <c r="L96" i="6"/>
  <c r="K96" i="6"/>
  <c r="J96" i="6"/>
  <c r="I96" i="6"/>
  <c r="H96" i="6"/>
  <c r="G96" i="6"/>
  <c r="M95" i="6"/>
  <c r="L95" i="6"/>
  <c r="K95" i="6"/>
  <c r="J95" i="6"/>
  <c r="I95" i="6"/>
  <c r="H95" i="6"/>
  <c r="G95" i="6"/>
  <c r="M94" i="6"/>
  <c r="L94" i="6"/>
  <c r="K94" i="6"/>
  <c r="J94" i="6"/>
  <c r="I94" i="6"/>
  <c r="H94" i="6"/>
  <c r="G94" i="6"/>
  <c r="M93" i="6"/>
  <c r="L93" i="6"/>
  <c r="K93" i="6"/>
  <c r="J93" i="6"/>
  <c r="I93" i="6"/>
  <c r="H93" i="6"/>
  <c r="G93" i="6"/>
  <c r="M92" i="6"/>
  <c r="L92" i="6"/>
  <c r="K92" i="6"/>
  <c r="J92" i="6"/>
  <c r="I92" i="6"/>
  <c r="H92" i="6"/>
  <c r="G92" i="6"/>
  <c r="M91" i="6"/>
  <c r="L91" i="6"/>
  <c r="K91" i="6"/>
  <c r="J91" i="6"/>
  <c r="I91" i="6"/>
  <c r="H91" i="6"/>
  <c r="G91" i="6"/>
  <c r="M90" i="6"/>
  <c r="L90" i="6"/>
  <c r="K90" i="6"/>
  <c r="J90" i="6"/>
  <c r="I90" i="6"/>
  <c r="H90" i="6"/>
  <c r="G90" i="6"/>
  <c r="M89" i="6"/>
  <c r="L89" i="6"/>
  <c r="K89" i="6"/>
  <c r="J89" i="6"/>
  <c r="I89" i="6"/>
  <c r="H89" i="6"/>
  <c r="G89" i="6"/>
  <c r="M88" i="6"/>
  <c r="L88" i="6"/>
  <c r="K88" i="6"/>
  <c r="J88" i="6"/>
  <c r="I88" i="6"/>
  <c r="H88" i="6"/>
  <c r="G88" i="6"/>
  <c r="M87" i="6"/>
  <c r="L87" i="6"/>
  <c r="K87" i="6"/>
  <c r="J87" i="6"/>
  <c r="I87" i="6"/>
  <c r="H87" i="6"/>
  <c r="G87" i="6"/>
  <c r="M86" i="6"/>
  <c r="L86" i="6"/>
  <c r="K86" i="6"/>
  <c r="J86" i="6"/>
  <c r="I86" i="6"/>
  <c r="H86" i="6"/>
  <c r="G86" i="6"/>
  <c r="M85" i="6"/>
  <c r="L85" i="6"/>
  <c r="K85" i="6"/>
  <c r="J85" i="6"/>
  <c r="I85" i="6"/>
  <c r="H85" i="6"/>
  <c r="G85" i="6"/>
  <c r="M84" i="6"/>
  <c r="L84" i="6"/>
  <c r="K84" i="6"/>
  <c r="J84" i="6"/>
  <c r="I84" i="6"/>
  <c r="H84" i="6"/>
  <c r="G84" i="6"/>
  <c r="M83" i="6"/>
  <c r="L83" i="6"/>
  <c r="K83" i="6"/>
  <c r="J83" i="6"/>
  <c r="I83" i="6"/>
  <c r="H83" i="6"/>
  <c r="G83" i="6"/>
  <c r="M82" i="6"/>
  <c r="L82" i="6"/>
  <c r="K82" i="6"/>
  <c r="J82" i="6"/>
  <c r="I82" i="6"/>
  <c r="H82" i="6"/>
  <c r="G82" i="6"/>
  <c r="M81" i="6"/>
  <c r="L81" i="6"/>
  <c r="K81" i="6"/>
  <c r="J81" i="6"/>
  <c r="I81" i="6"/>
  <c r="H81" i="6"/>
  <c r="G81" i="6"/>
  <c r="M80" i="6"/>
  <c r="L80" i="6"/>
  <c r="K80" i="6"/>
  <c r="J80" i="6"/>
  <c r="I80" i="6"/>
  <c r="H80" i="6"/>
  <c r="G80" i="6"/>
  <c r="M79" i="6"/>
  <c r="L79" i="6"/>
  <c r="K79" i="6"/>
  <c r="J79" i="6"/>
  <c r="I79" i="6"/>
  <c r="H79" i="6"/>
  <c r="G79" i="6"/>
  <c r="M78" i="6"/>
  <c r="L78" i="6"/>
  <c r="K78" i="6"/>
  <c r="J78" i="6"/>
  <c r="I78" i="6"/>
  <c r="H78" i="6"/>
  <c r="G78" i="6"/>
  <c r="M77" i="6"/>
  <c r="L77" i="6"/>
  <c r="K77" i="6"/>
  <c r="J77" i="6"/>
  <c r="I77" i="6"/>
  <c r="H77" i="6"/>
  <c r="G77" i="6"/>
  <c r="M76" i="6"/>
  <c r="L76" i="6"/>
  <c r="K76" i="6"/>
  <c r="J76" i="6"/>
  <c r="I76" i="6"/>
  <c r="H76" i="6"/>
  <c r="G76" i="6"/>
  <c r="M75" i="6"/>
  <c r="L75" i="6"/>
  <c r="K75" i="6"/>
  <c r="J75" i="6"/>
  <c r="I75" i="6"/>
  <c r="H75" i="6"/>
  <c r="G75" i="6"/>
  <c r="M74" i="6"/>
  <c r="L74" i="6"/>
  <c r="K74" i="6"/>
  <c r="J74" i="6"/>
  <c r="I74" i="6"/>
  <c r="H74" i="6"/>
  <c r="G74" i="6"/>
  <c r="M73" i="6"/>
  <c r="L73" i="6"/>
  <c r="K73" i="6"/>
  <c r="J73" i="6"/>
  <c r="I73" i="6"/>
  <c r="H73" i="6"/>
  <c r="G73" i="6"/>
  <c r="M72" i="6"/>
  <c r="L72" i="6"/>
  <c r="K72" i="6"/>
  <c r="J72" i="6"/>
  <c r="I72" i="6"/>
  <c r="H72" i="6"/>
  <c r="G72" i="6"/>
  <c r="M71" i="6"/>
  <c r="L71" i="6"/>
  <c r="K71" i="6"/>
  <c r="J71" i="6"/>
  <c r="I71" i="6"/>
  <c r="H71" i="6"/>
  <c r="G71" i="6"/>
  <c r="M70" i="6"/>
  <c r="L70" i="6"/>
  <c r="K70" i="6"/>
  <c r="J70" i="6"/>
  <c r="I70" i="6"/>
  <c r="H70" i="6"/>
  <c r="G70" i="6"/>
  <c r="M69" i="6"/>
  <c r="L69" i="6"/>
  <c r="K69" i="6"/>
  <c r="J69" i="6"/>
  <c r="I69" i="6"/>
  <c r="H69" i="6"/>
  <c r="G69" i="6"/>
  <c r="M68" i="6"/>
  <c r="L68" i="6"/>
  <c r="K68" i="6"/>
  <c r="J68" i="6"/>
  <c r="I68" i="6"/>
  <c r="H68" i="6"/>
  <c r="G68" i="6"/>
  <c r="M67" i="6"/>
  <c r="L67" i="6"/>
  <c r="K67" i="6"/>
  <c r="J67" i="6"/>
  <c r="I67" i="6"/>
  <c r="H67" i="6"/>
  <c r="G67" i="6"/>
  <c r="M66" i="6"/>
  <c r="L66" i="6"/>
  <c r="K66" i="6"/>
  <c r="J66" i="6"/>
  <c r="I66" i="6"/>
  <c r="H66" i="6"/>
  <c r="G66" i="6"/>
  <c r="M65" i="6"/>
  <c r="L65" i="6"/>
  <c r="K65" i="6"/>
  <c r="J65" i="6"/>
  <c r="I65" i="6"/>
  <c r="H65" i="6"/>
  <c r="G65" i="6"/>
  <c r="M64" i="6"/>
  <c r="L64" i="6"/>
  <c r="K64" i="6"/>
  <c r="J64" i="6"/>
  <c r="I64" i="6"/>
  <c r="H64" i="6"/>
  <c r="G64" i="6"/>
  <c r="M63" i="6"/>
  <c r="L63" i="6"/>
  <c r="K63" i="6"/>
  <c r="J63" i="6"/>
  <c r="I63" i="6"/>
  <c r="H63" i="6"/>
  <c r="G63" i="6"/>
  <c r="M62" i="6"/>
  <c r="L62" i="6"/>
  <c r="K62" i="6"/>
  <c r="J62" i="6"/>
  <c r="I62" i="6"/>
  <c r="H62" i="6"/>
  <c r="G62" i="6"/>
  <c r="M61" i="6"/>
  <c r="L61" i="6"/>
  <c r="K61" i="6"/>
  <c r="J61" i="6"/>
  <c r="I61" i="6"/>
  <c r="H61" i="6"/>
  <c r="G61" i="6"/>
  <c r="M60" i="6"/>
  <c r="L60" i="6"/>
  <c r="K60" i="6"/>
  <c r="J60" i="6"/>
  <c r="I60" i="6"/>
  <c r="H60" i="6"/>
  <c r="G60" i="6"/>
  <c r="M59" i="6"/>
  <c r="L59" i="6"/>
  <c r="K59" i="6"/>
  <c r="J59" i="6"/>
  <c r="I59" i="6"/>
  <c r="H59" i="6"/>
  <c r="G59" i="6"/>
  <c r="M58" i="6"/>
  <c r="L58" i="6"/>
  <c r="K58" i="6"/>
  <c r="J58" i="6"/>
  <c r="I58" i="6"/>
  <c r="H58" i="6"/>
  <c r="G58" i="6"/>
  <c r="M57" i="6"/>
  <c r="L57" i="6"/>
  <c r="K57" i="6"/>
  <c r="J57" i="6"/>
  <c r="I57" i="6"/>
  <c r="H57" i="6"/>
  <c r="G57" i="6"/>
  <c r="M56" i="6"/>
  <c r="L56" i="6"/>
  <c r="K56" i="6"/>
  <c r="J56" i="6"/>
  <c r="I56" i="6"/>
  <c r="H56" i="6"/>
  <c r="G56" i="6"/>
  <c r="M55" i="6"/>
  <c r="L55" i="6"/>
  <c r="K55" i="6"/>
  <c r="J55" i="6"/>
  <c r="I55" i="6"/>
  <c r="H55" i="6"/>
  <c r="G55" i="6"/>
  <c r="M54" i="6"/>
  <c r="L54" i="6"/>
  <c r="K54" i="6"/>
  <c r="J54" i="6"/>
  <c r="I54" i="6"/>
  <c r="H54" i="6"/>
  <c r="G54" i="6"/>
  <c r="M53" i="6"/>
  <c r="L53" i="6"/>
  <c r="K53" i="6"/>
  <c r="J53" i="6"/>
  <c r="I53" i="6"/>
  <c r="H53" i="6"/>
  <c r="G53" i="6"/>
  <c r="M52" i="6"/>
  <c r="L52" i="6"/>
  <c r="K52" i="6"/>
  <c r="J52" i="6"/>
  <c r="I52" i="6"/>
  <c r="H52" i="6"/>
  <c r="G52" i="6"/>
  <c r="M51" i="6"/>
  <c r="L51" i="6"/>
  <c r="K51" i="6"/>
  <c r="J51" i="6"/>
  <c r="I51" i="6"/>
  <c r="H51" i="6"/>
  <c r="G51" i="6"/>
  <c r="M50" i="6"/>
  <c r="L50" i="6"/>
  <c r="K50" i="6"/>
  <c r="J50" i="6"/>
  <c r="I50" i="6"/>
  <c r="H50" i="6"/>
  <c r="G50" i="6"/>
  <c r="M49" i="6"/>
  <c r="L49" i="6"/>
  <c r="K49" i="6"/>
  <c r="J49" i="6"/>
  <c r="I49" i="6"/>
  <c r="H49" i="6"/>
  <c r="G49" i="6"/>
  <c r="M48" i="6"/>
  <c r="L48" i="6"/>
  <c r="K48" i="6"/>
  <c r="J48" i="6"/>
  <c r="I48" i="6"/>
  <c r="H48" i="6"/>
  <c r="G48" i="6"/>
  <c r="M47" i="6"/>
  <c r="L47" i="6"/>
  <c r="K47" i="6"/>
  <c r="J47" i="6"/>
  <c r="I47" i="6"/>
  <c r="H47" i="6"/>
  <c r="G47" i="6"/>
  <c r="M46" i="6"/>
  <c r="L46" i="6"/>
  <c r="K46" i="6"/>
  <c r="J46" i="6"/>
  <c r="I46" i="6"/>
  <c r="H46" i="6"/>
  <c r="G46" i="6"/>
  <c r="M45" i="6"/>
  <c r="L45" i="6"/>
  <c r="K45" i="6"/>
  <c r="J45" i="6"/>
  <c r="I45" i="6"/>
  <c r="H45" i="6"/>
  <c r="G45" i="6"/>
  <c r="M44" i="6"/>
  <c r="L44" i="6"/>
  <c r="K44" i="6"/>
  <c r="J44" i="6"/>
  <c r="I44" i="6"/>
  <c r="H44" i="6"/>
  <c r="G44" i="6"/>
  <c r="M43" i="6"/>
  <c r="L43" i="6"/>
  <c r="K43" i="6"/>
  <c r="J43" i="6"/>
  <c r="I43" i="6"/>
  <c r="H43" i="6"/>
  <c r="G43" i="6"/>
  <c r="M42" i="6"/>
  <c r="L42" i="6"/>
  <c r="K42" i="6"/>
  <c r="J42" i="6"/>
  <c r="I42" i="6"/>
  <c r="H42" i="6"/>
  <c r="G42" i="6"/>
  <c r="M41" i="6"/>
  <c r="L41" i="6"/>
  <c r="K41" i="6"/>
  <c r="J41" i="6"/>
  <c r="I41" i="6"/>
  <c r="H41" i="6"/>
  <c r="G41" i="6"/>
  <c r="M40" i="6"/>
  <c r="L40" i="6"/>
  <c r="K40" i="6"/>
  <c r="J40" i="6"/>
  <c r="I40" i="6"/>
  <c r="H40" i="6"/>
  <c r="G40" i="6"/>
  <c r="M39" i="6"/>
  <c r="L39" i="6"/>
  <c r="K39" i="6"/>
  <c r="J39" i="6"/>
  <c r="I39" i="6"/>
  <c r="H39" i="6"/>
  <c r="G39" i="6"/>
  <c r="M38" i="6"/>
  <c r="L38" i="6"/>
  <c r="K38" i="6"/>
  <c r="J38" i="6"/>
  <c r="I38" i="6"/>
  <c r="H38" i="6"/>
  <c r="G38" i="6"/>
  <c r="M37" i="6"/>
  <c r="L37" i="6"/>
  <c r="K37" i="6"/>
  <c r="J37" i="6"/>
  <c r="I37" i="6"/>
  <c r="H37" i="6"/>
  <c r="G37" i="6"/>
  <c r="M36" i="6"/>
  <c r="L36" i="6"/>
  <c r="K36" i="6"/>
  <c r="J36" i="6"/>
  <c r="I36" i="6"/>
  <c r="H36" i="6"/>
  <c r="G36" i="6"/>
  <c r="M35" i="6"/>
  <c r="L35" i="6"/>
  <c r="K35" i="6"/>
  <c r="J35" i="6"/>
  <c r="I35" i="6"/>
  <c r="H35" i="6"/>
  <c r="G35" i="6"/>
  <c r="M34" i="6"/>
  <c r="L34" i="6"/>
  <c r="K34" i="6"/>
  <c r="J34" i="6"/>
  <c r="I34" i="6"/>
  <c r="H34" i="6"/>
  <c r="G34" i="6"/>
  <c r="M33" i="6"/>
  <c r="L33" i="6"/>
  <c r="K33" i="6"/>
  <c r="J33" i="6"/>
  <c r="I33" i="6"/>
  <c r="H33" i="6"/>
  <c r="G33" i="6"/>
  <c r="M32" i="6"/>
  <c r="L32" i="6"/>
  <c r="K32" i="6"/>
  <c r="J32" i="6"/>
  <c r="I32" i="6"/>
  <c r="H32" i="6"/>
  <c r="G32" i="6"/>
  <c r="M31" i="6"/>
  <c r="L31" i="6"/>
  <c r="K31" i="6"/>
  <c r="J31" i="6"/>
  <c r="I31" i="6"/>
  <c r="H31" i="6"/>
  <c r="G31" i="6"/>
  <c r="M30" i="6"/>
  <c r="L30" i="6"/>
  <c r="K30" i="6"/>
  <c r="J30" i="6"/>
  <c r="I30" i="6"/>
  <c r="H30" i="6"/>
  <c r="G30" i="6"/>
  <c r="M29" i="6"/>
  <c r="L29" i="6"/>
  <c r="K29" i="6"/>
  <c r="J29" i="6"/>
  <c r="I29" i="6"/>
  <c r="H29" i="6"/>
  <c r="G29" i="6"/>
  <c r="M28" i="6"/>
  <c r="L28" i="6"/>
  <c r="K28" i="6"/>
  <c r="J28" i="6"/>
  <c r="I28" i="6"/>
  <c r="H28" i="6"/>
  <c r="G28" i="6"/>
  <c r="M27" i="6"/>
  <c r="L27" i="6"/>
  <c r="K27" i="6"/>
  <c r="J27" i="6"/>
  <c r="I27" i="6"/>
  <c r="H27" i="6"/>
  <c r="G27" i="6"/>
  <c r="M26" i="6"/>
  <c r="L26" i="6"/>
  <c r="K26" i="6"/>
  <c r="J26" i="6"/>
  <c r="I26" i="6"/>
  <c r="H26" i="6"/>
  <c r="G26" i="6"/>
  <c r="M25" i="6"/>
  <c r="L25" i="6"/>
  <c r="K25" i="6"/>
  <c r="J25" i="6"/>
  <c r="I25" i="6"/>
  <c r="H25" i="6"/>
  <c r="G25" i="6"/>
  <c r="M24" i="6"/>
  <c r="L24" i="6"/>
  <c r="K24" i="6"/>
  <c r="J24" i="6"/>
  <c r="I24" i="6"/>
  <c r="H24" i="6"/>
  <c r="G24" i="6"/>
  <c r="M23" i="6"/>
  <c r="L23" i="6"/>
  <c r="K23" i="6"/>
  <c r="J23" i="6"/>
  <c r="I23" i="6"/>
  <c r="H23" i="6"/>
  <c r="G23" i="6"/>
  <c r="M22" i="6"/>
  <c r="L22" i="6"/>
  <c r="K22" i="6"/>
  <c r="J22" i="6"/>
  <c r="I22" i="6"/>
  <c r="H22" i="6"/>
  <c r="G22" i="6"/>
  <c r="M21" i="6"/>
  <c r="L21" i="6"/>
  <c r="K21" i="6"/>
  <c r="J21" i="6"/>
  <c r="I21" i="6"/>
  <c r="H21" i="6"/>
  <c r="G21" i="6"/>
  <c r="M20" i="6"/>
  <c r="L20" i="6"/>
  <c r="K20" i="6"/>
  <c r="J20" i="6"/>
  <c r="I20" i="6"/>
  <c r="H20" i="6"/>
  <c r="G20" i="6"/>
  <c r="M19" i="6"/>
  <c r="L19" i="6"/>
  <c r="K19" i="6"/>
  <c r="J19" i="6"/>
  <c r="I19" i="6"/>
  <c r="H19" i="6"/>
  <c r="G19" i="6"/>
  <c r="M18" i="6"/>
  <c r="L18" i="6"/>
  <c r="K18" i="6"/>
  <c r="J18" i="6"/>
  <c r="I18" i="6"/>
  <c r="H18" i="6"/>
  <c r="G18" i="6"/>
  <c r="M17" i="6"/>
  <c r="L17" i="6"/>
  <c r="K17" i="6"/>
  <c r="J17" i="6"/>
  <c r="I17" i="6"/>
  <c r="H17" i="6"/>
  <c r="G17" i="6"/>
  <c r="M16" i="6"/>
  <c r="L16" i="6"/>
  <c r="K16" i="6"/>
  <c r="J16" i="6"/>
  <c r="I16" i="6"/>
  <c r="H16" i="6"/>
  <c r="G16" i="6"/>
  <c r="M15" i="6"/>
  <c r="L15" i="6"/>
  <c r="K15" i="6"/>
  <c r="J15" i="6"/>
  <c r="I15" i="6"/>
  <c r="H15" i="6"/>
  <c r="G15" i="6"/>
  <c r="M14" i="6"/>
  <c r="L14" i="6"/>
  <c r="K14" i="6"/>
  <c r="J14" i="6"/>
  <c r="I14" i="6"/>
  <c r="H14" i="6"/>
  <c r="G14" i="6"/>
  <c r="M13" i="6"/>
  <c r="L13" i="6"/>
  <c r="K13" i="6"/>
  <c r="J13" i="6"/>
  <c r="I13" i="6"/>
  <c r="H13" i="6"/>
  <c r="G13" i="6"/>
  <c r="M12" i="6"/>
  <c r="L12" i="6"/>
  <c r="K12" i="6"/>
  <c r="J12" i="6"/>
  <c r="I12" i="6"/>
  <c r="H12" i="6"/>
  <c r="G12" i="6"/>
  <c r="M11" i="6"/>
  <c r="L11" i="6"/>
  <c r="K11" i="6"/>
  <c r="J11" i="6"/>
  <c r="I11" i="6"/>
  <c r="H11" i="6"/>
  <c r="G11" i="6"/>
  <c r="M10" i="6"/>
  <c r="L10" i="6"/>
  <c r="K10" i="6"/>
  <c r="J10" i="6"/>
  <c r="I10" i="6"/>
  <c r="H10" i="6"/>
  <c r="G10" i="6"/>
  <c r="M9" i="6"/>
  <c r="L9" i="6"/>
  <c r="K9" i="6"/>
  <c r="J9" i="6"/>
  <c r="I9" i="6"/>
  <c r="H9" i="6"/>
  <c r="G9" i="6"/>
  <c r="M8" i="6"/>
  <c r="L8" i="6"/>
  <c r="K8" i="6"/>
  <c r="J8" i="6"/>
  <c r="I8" i="6"/>
  <c r="H8" i="6"/>
  <c r="G8" i="6"/>
  <c r="M7" i="6"/>
  <c r="L7" i="6"/>
  <c r="K7" i="6"/>
  <c r="J7" i="6"/>
  <c r="I7" i="6"/>
  <c r="H7" i="6"/>
  <c r="G7" i="6"/>
  <c r="M6" i="6"/>
  <c r="L6" i="6"/>
  <c r="K6" i="6"/>
  <c r="J6" i="6"/>
  <c r="I6" i="6"/>
  <c r="H6" i="6"/>
  <c r="G6" i="6"/>
  <c r="M5" i="6"/>
  <c r="L5" i="6"/>
  <c r="K5" i="6"/>
  <c r="J5" i="6"/>
  <c r="I5" i="6"/>
  <c r="H5" i="6"/>
  <c r="G5" i="6"/>
  <c r="M4" i="6"/>
  <c r="L4" i="6"/>
  <c r="K4" i="6"/>
  <c r="J4" i="6"/>
  <c r="I4" i="6"/>
  <c r="H4" i="6"/>
  <c r="G4" i="6"/>
  <c r="M3" i="6"/>
  <c r="L3" i="6"/>
  <c r="K3" i="6"/>
  <c r="J3" i="6"/>
  <c r="I3" i="6"/>
  <c r="H3" i="6"/>
  <c r="G3" i="6"/>
  <c r="M2" i="6"/>
  <c r="L2" i="6"/>
  <c r="K2" i="6"/>
  <c r="J2" i="6"/>
  <c r="I2" i="6"/>
  <c r="H2" i="6"/>
  <c r="G2" i="6"/>
  <c r="E31" i="7"/>
  <c r="E33" i="7"/>
  <c r="B27" i="7"/>
  <c r="B4" i="7" l="1"/>
</calcChain>
</file>

<file path=xl/connections.xml><?xml version="1.0" encoding="utf-8"?>
<connections xmlns="http://schemas.openxmlformats.org/spreadsheetml/2006/main">
  <connection id="1" keepAlive="1" name="Query - Errors in USD_NGN Historical Data" description="Connection to the 'Errors in USD_NGN Historical Data' query in the workbook." type="5" refreshedVersion="0" background="1">
    <dbPr connection="Provider=Microsoft.Mashup.OleDb.1;Data Source=$Workbook$;Location=&quot;Errors in USD_NGN Historical Data&quot;;Extended Properties=&quot;&quot;" command="SELECT * FROM [Errors in USD_NGN Historical Data]"/>
  </connection>
  <connection id="2" keepAlive="1" name="Query - USD_NGN Historical Data (1)" description="Connection to the 'USD_NGN Historical Data (1)' query in the workbook." type="5" refreshedVersion="6" background="1" saveData="1">
    <dbPr connection="Provider=Microsoft.Mashup.OleDb.1;Data Source=$Workbook$;Location=USD_NGN Historical Data (1);Extended Properties=&quot;&quot;" command="SELECT * FROM [USD_NGN Historical Data (1)]"/>
  </connection>
  <connection id="3" keepAlive="1" name="Query - USD_NGN Historical Data (3)" description="Connection to the 'USD_NGN Historical Data (3)' query in the workbook." type="5" refreshedVersion="6" background="1" saveData="1">
    <dbPr connection="Provider=Microsoft.Mashup.OleDb.1;Data Source=$Workbook$;Location=&quot;USD_NGN Historical Data (3)&quot;;Extended Properties=&quot;&quot;" command="SELECT * FROM [USD_NGN Historical Data (3)]"/>
  </connection>
</connections>
</file>

<file path=xl/sharedStrings.xml><?xml version="1.0" encoding="utf-8"?>
<sst xmlns="http://schemas.openxmlformats.org/spreadsheetml/2006/main" count="953" uniqueCount="883">
  <si>
    <t>Date</t>
  </si>
  <si>
    <t>Rate</t>
  </si>
  <si>
    <t>Open</t>
  </si>
  <si>
    <t>High</t>
  </si>
  <si>
    <t>Low</t>
  </si>
  <si>
    <t>Change %</t>
  </si>
  <si>
    <t>30/01/2026</t>
  </si>
  <si>
    <t>29/01/2026</t>
  </si>
  <si>
    <t>28/01/2026</t>
  </si>
  <si>
    <t>27/01/2026</t>
  </si>
  <si>
    <t>26/01/2026</t>
  </si>
  <si>
    <t>23/01/2026</t>
  </si>
  <si>
    <t>22/01/2026</t>
  </si>
  <si>
    <t>21/01/2026</t>
  </si>
  <si>
    <t>20/01/2026</t>
  </si>
  <si>
    <t>19/01/2026</t>
  </si>
  <si>
    <t>16/01/2026</t>
  </si>
  <si>
    <t>15/01/2026</t>
  </si>
  <si>
    <t>14/01/2026</t>
  </si>
  <si>
    <t>13/01/2026</t>
  </si>
  <si>
    <t>12/01/2026</t>
  </si>
  <si>
    <t>09/01/2026</t>
  </si>
  <si>
    <t>08/01/2026</t>
  </si>
  <si>
    <t>07/01/2026</t>
  </si>
  <si>
    <t>06/01/2026</t>
  </si>
  <si>
    <t>05/01/2026</t>
  </si>
  <si>
    <t>02/01/2026</t>
  </si>
  <si>
    <t>01/01/2026</t>
  </si>
  <si>
    <t>31/12/2025</t>
  </si>
  <si>
    <t>30/12/2025</t>
  </si>
  <si>
    <t>29/12/2025</t>
  </si>
  <si>
    <t>26/12/2025</t>
  </si>
  <si>
    <t>25/12/2025</t>
  </si>
  <si>
    <t>24/12/2025</t>
  </si>
  <si>
    <t>23/12/2025</t>
  </si>
  <si>
    <t>22/12/2025</t>
  </si>
  <si>
    <t>19/12/2025</t>
  </si>
  <si>
    <t>18/12/2025</t>
  </si>
  <si>
    <t>17/12/2025</t>
  </si>
  <si>
    <t>16/12/2025</t>
  </si>
  <si>
    <t>15/12/2025</t>
  </si>
  <si>
    <t>12/12/2025</t>
  </si>
  <si>
    <t>11/12/2025</t>
  </si>
  <si>
    <t>10/12/2025</t>
  </si>
  <si>
    <t>09/12/2025</t>
  </si>
  <si>
    <t>08/12/2025</t>
  </si>
  <si>
    <t>05/12/2025</t>
  </si>
  <si>
    <t>04/12/2025</t>
  </si>
  <si>
    <t>03/12/2025</t>
  </si>
  <si>
    <t>02/12/2025</t>
  </si>
  <si>
    <t>01/12/2025</t>
  </si>
  <si>
    <t>28/11/2025</t>
  </si>
  <si>
    <t>27/11/2025</t>
  </si>
  <si>
    <t>26/11/2025</t>
  </si>
  <si>
    <t>25/11/2025</t>
  </si>
  <si>
    <t>24/11/2025</t>
  </si>
  <si>
    <t>21/11/2025</t>
  </si>
  <si>
    <t>20/11/2025</t>
  </si>
  <si>
    <t>19/11/2025</t>
  </si>
  <si>
    <t>18/11/2025</t>
  </si>
  <si>
    <t>17/11/2025</t>
  </si>
  <si>
    <t>14/11/2025</t>
  </si>
  <si>
    <t>13/11/2025</t>
  </si>
  <si>
    <t>12/11/2025</t>
  </si>
  <si>
    <t>11/11/2025</t>
  </si>
  <si>
    <t>10/11/2025</t>
  </si>
  <si>
    <t>07/11/2025</t>
  </si>
  <si>
    <t>06/11/2025</t>
  </si>
  <si>
    <t>05/11/2025</t>
  </si>
  <si>
    <t>04/11/2025</t>
  </si>
  <si>
    <t>03/11/2025</t>
  </si>
  <si>
    <t>31/10/2025</t>
  </si>
  <si>
    <t>30/10/2025</t>
  </si>
  <si>
    <t>29/10/2025</t>
  </si>
  <si>
    <t>28/10/2025</t>
  </si>
  <si>
    <t>27/10/2025</t>
  </si>
  <si>
    <t>24/10/2025</t>
  </si>
  <si>
    <t>23/10/2025</t>
  </si>
  <si>
    <t>22/10/2025</t>
  </si>
  <si>
    <t>21/10/2025</t>
  </si>
  <si>
    <t>20/10/2025</t>
  </si>
  <si>
    <t>17/10/2025</t>
  </si>
  <si>
    <t>16/10/2025</t>
  </si>
  <si>
    <t>15/10/2025</t>
  </si>
  <si>
    <t>14/10/2025</t>
  </si>
  <si>
    <t>13/10/2025</t>
  </si>
  <si>
    <t>10/10/2025</t>
  </si>
  <si>
    <t>09/10/2025</t>
  </si>
  <si>
    <t>08/10/2025</t>
  </si>
  <si>
    <t>07/10/2025</t>
  </si>
  <si>
    <t>06/10/2025</t>
  </si>
  <si>
    <t>03/10/2025</t>
  </si>
  <si>
    <t>02/10/2025</t>
  </si>
  <si>
    <t>01/10/2025</t>
  </si>
  <si>
    <t>30/09/2025</t>
  </si>
  <si>
    <t>29/09/2025</t>
  </si>
  <si>
    <t>26/09/2025</t>
  </si>
  <si>
    <t>25/09/2025</t>
  </si>
  <si>
    <t>24/09/2025</t>
  </si>
  <si>
    <t>23/09/2025</t>
  </si>
  <si>
    <t>22/09/2025</t>
  </si>
  <si>
    <t>19/09/2025</t>
  </si>
  <si>
    <t>18/09/2025</t>
  </si>
  <si>
    <t>17/09/2025</t>
  </si>
  <si>
    <t>16/09/2025</t>
  </si>
  <si>
    <t>15/09/2025</t>
  </si>
  <si>
    <t>12/09/2025</t>
  </si>
  <si>
    <t>11/09/2025</t>
  </si>
  <si>
    <t>10/09/2025</t>
  </si>
  <si>
    <t>09/09/2025</t>
  </si>
  <si>
    <t>08/09/2025</t>
  </si>
  <si>
    <t>05/09/2025</t>
  </si>
  <si>
    <t>04/09/2025</t>
  </si>
  <si>
    <t>03/09/2025</t>
  </si>
  <si>
    <t>02/09/2025</t>
  </si>
  <si>
    <t>01/09/2025</t>
  </si>
  <si>
    <t>29/08/2025</t>
  </si>
  <si>
    <t>28/08/2025</t>
  </si>
  <si>
    <t>27/08/2025</t>
  </si>
  <si>
    <t>26/08/2025</t>
  </si>
  <si>
    <t>25/08/2025</t>
  </si>
  <si>
    <t>22/08/2025</t>
  </si>
  <si>
    <t>21/08/2025</t>
  </si>
  <si>
    <t>20/08/2025</t>
  </si>
  <si>
    <t>19/08/2025</t>
  </si>
  <si>
    <t>18/08/2025</t>
  </si>
  <si>
    <t>15/08/2025</t>
  </si>
  <si>
    <t>14/08/2025</t>
  </si>
  <si>
    <t>13/08/2025</t>
  </si>
  <si>
    <t>12/08/2025</t>
  </si>
  <si>
    <t>11/08/2025</t>
  </si>
  <si>
    <t>08/08/2025</t>
  </si>
  <si>
    <t>07/08/2025</t>
  </si>
  <si>
    <t>06/08/2025</t>
  </si>
  <si>
    <t>05/08/2025</t>
  </si>
  <si>
    <t>04/08/2025</t>
  </si>
  <si>
    <t>01/08/2025</t>
  </si>
  <si>
    <t>31/07/2025</t>
  </si>
  <si>
    <t>30/07/2025</t>
  </si>
  <si>
    <t>29/07/2025</t>
  </si>
  <si>
    <t>28/07/2025</t>
  </si>
  <si>
    <t>25/07/2025</t>
  </si>
  <si>
    <t>24/07/2025</t>
  </si>
  <si>
    <t>23/07/2025</t>
  </si>
  <si>
    <t>22/07/2025</t>
  </si>
  <si>
    <t>21/07/2025</t>
  </si>
  <si>
    <t>18/07/2025</t>
  </si>
  <si>
    <t>17/07/2025</t>
  </si>
  <si>
    <t>16/07/2025</t>
  </si>
  <si>
    <t>15/07/2025</t>
  </si>
  <si>
    <t>14/07/2025</t>
  </si>
  <si>
    <t>11/07/2025</t>
  </si>
  <si>
    <t>10/07/2025</t>
  </si>
  <si>
    <t>09/07/2025</t>
  </si>
  <si>
    <t>08/07/2025</t>
  </si>
  <si>
    <t>07/07/2025</t>
  </si>
  <si>
    <t>04/07/2025</t>
  </si>
  <si>
    <t>03/07/2025</t>
  </si>
  <si>
    <t>02/07/2025</t>
  </si>
  <si>
    <t>01/07/2025</t>
  </si>
  <si>
    <t>30/06/2025</t>
  </si>
  <si>
    <t>27/06/2025</t>
  </si>
  <si>
    <t>26/06/2025</t>
  </si>
  <si>
    <t>25/06/2025</t>
  </si>
  <si>
    <t>24/06/2025</t>
  </si>
  <si>
    <t>23/06/2025</t>
  </si>
  <si>
    <t>20/06/2025</t>
  </si>
  <si>
    <t>19/06/2025</t>
  </si>
  <si>
    <t>18/06/2025</t>
  </si>
  <si>
    <t>17/06/2025</t>
  </si>
  <si>
    <t>16/06/2025</t>
  </si>
  <si>
    <t>13/06/2025</t>
  </si>
  <si>
    <t>12/06/2025</t>
  </si>
  <si>
    <t>11/06/2025</t>
  </si>
  <si>
    <t>10/06/2025</t>
  </si>
  <si>
    <t>09/06/2025</t>
  </si>
  <si>
    <t>06/06/2025</t>
  </si>
  <si>
    <t>05/06/2025</t>
  </si>
  <si>
    <t>04/06/2025</t>
  </si>
  <si>
    <t>03/06/2025</t>
  </si>
  <si>
    <t>02/06/2025</t>
  </si>
  <si>
    <t>30/05/2025</t>
  </si>
  <si>
    <t>29/05/2025</t>
  </si>
  <si>
    <t>28/05/2025</t>
  </si>
  <si>
    <t>27/05/2025</t>
  </si>
  <si>
    <t>26/05/2025</t>
  </si>
  <si>
    <t>23/05/2025</t>
  </si>
  <si>
    <t>22/05/2025</t>
  </si>
  <si>
    <t>21/05/2025</t>
  </si>
  <si>
    <t>20/05/2025</t>
  </si>
  <si>
    <t>19/05/2025</t>
  </si>
  <si>
    <t>16/05/2025</t>
  </si>
  <si>
    <t>15/05/2025</t>
  </si>
  <si>
    <t>14/05/2025</t>
  </si>
  <si>
    <t>13/05/2025</t>
  </si>
  <si>
    <t>12/05/2025</t>
  </si>
  <si>
    <t>09/05/2025</t>
  </si>
  <si>
    <t>08/05/2025</t>
  </si>
  <si>
    <t>07/05/2025</t>
  </si>
  <si>
    <t>06/05/2025</t>
  </si>
  <si>
    <t>05/05/2025</t>
  </si>
  <si>
    <t>02/05/2025</t>
  </si>
  <si>
    <t>01/05/2025</t>
  </si>
  <si>
    <t>30/04/2025</t>
  </si>
  <si>
    <t>29/04/2025</t>
  </si>
  <si>
    <t>28/04/2025</t>
  </si>
  <si>
    <t>25/04/2025</t>
  </si>
  <si>
    <t>24/04/2025</t>
  </si>
  <si>
    <t>23/04/2025</t>
  </si>
  <si>
    <t>22/04/2025</t>
  </si>
  <si>
    <t>21/04/2025</t>
  </si>
  <si>
    <t>18/04/2025</t>
  </si>
  <si>
    <t>17/04/2025</t>
  </si>
  <si>
    <t>16/04/2025</t>
  </si>
  <si>
    <t>15/04/2025</t>
  </si>
  <si>
    <t>14/04/2025</t>
  </si>
  <si>
    <t>11/04/2025</t>
  </si>
  <si>
    <t>10/04/2025</t>
  </si>
  <si>
    <t>09/04/2025</t>
  </si>
  <si>
    <t>08/04/2025</t>
  </si>
  <si>
    <t>07/04/2025</t>
  </si>
  <si>
    <t>04/04/2025</t>
  </si>
  <si>
    <t>03/04/2025</t>
  </si>
  <si>
    <t>02/04/2025</t>
  </si>
  <si>
    <t>01/04/2025</t>
  </si>
  <si>
    <t>31/03/2025</t>
  </si>
  <si>
    <t>28/03/2025</t>
  </si>
  <si>
    <t>27/03/2025</t>
  </si>
  <si>
    <t>26/03/2025</t>
  </si>
  <si>
    <t>25/03/2025</t>
  </si>
  <si>
    <t>24/03/2025</t>
  </si>
  <si>
    <t>21/03/2025</t>
  </si>
  <si>
    <t>20/03/2025</t>
  </si>
  <si>
    <t>19/03/2025</t>
  </si>
  <si>
    <t>18/03/2025</t>
  </si>
  <si>
    <t>17/03/2025</t>
  </si>
  <si>
    <t>14/03/2025</t>
  </si>
  <si>
    <t>13/03/2025</t>
  </si>
  <si>
    <t>12/03/2025</t>
  </si>
  <si>
    <t>11/03/2025</t>
  </si>
  <si>
    <t>10/03/2025</t>
  </si>
  <si>
    <t>07/03/2025</t>
  </si>
  <si>
    <t>06/03/2025</t>
  </si>
  <si>
    <t>05/03/2025</t>
  </si>
  <si>
    <t>04/03/2025</t>
  </si>
  <si>
    <t>03/03/2025</t>
  </si>
  <si>
    <t>28/02/2025</t>
  </si>
  <si>
    <t>27/02/2025</t>
  </si>
  <si>
    <t>26/02/2025</t>
  </si>
  <si>
    <t>25/02/2025</t>
  </si>
  <si>
    <t>24/02/2025</t>
  </si>
  <si>
    <t>21/02/2025</t>
  </si>
  <si>
    <t>20/02/2025</t>
  </si>
  <si>
    <t>19/02/2025</t>
  </si>
  <si>
    <t>18/02/2025</t>
  </si>
  <si>
    <t>17/02/2025</t>
  </si>
  <si>
    <t>14/02/2025</t>
  </si>
  <si>
    <t>13/02/2025</t>
  </si>
  <si>
    <t>12/02/2025</t>
  </si>
  <si>
    <t>11/02/2025</t>
  </si>
  <si>
    <t>10/02/2025</t>
  </si>
  <si>
    <t>07/02/2025</t>
  </si>
  <si>
    <t>06/02/2025</t>
  </si>
  <si>
    <t>05/02/2025</t>
  </si>
  <si>
    <t>04/02/2025</t>
  </si>
  <si>
    <t>03/02/2025</t>
  </si>
  <si>
    <t>31/01/2025</t>
  </si>
  <si>
    <t>30/01/2025</t>
  </si>
  <si>
    <t>29/01/2025</t>
  </si>
  <si>
    <t>28/01/2025</t>
  </si>
  <si>
    <t>27/01/2025</t>
  </si>
  <si>
    <t>24/01/2025</t>
  </si>
  <si>
    <t>23/01/2025</t>
  </si>
  <si>
    <t>22/01/2025</t>
  </si>
  <si>
    <t>21/01/2025</t>
  </si>
  <si>
    <t>20/01/2025</t>
  </si>
  <si>
    <t>17/01/2025</t>
  </si>
  <si>
    <t>16/01/2025</t>
  </si>
  <si>
    <t>15/01/2025</t>
  </si>
  <si>
    <t>14/01/2025</t>
  </si>
  <si>
    <t>13/01/2025</t>
  </si>
  <si>
    <t>10/01/2025</t>
  </si>
  <si>
    <t>09/01/2025</t>
  </si>
  <si>
    <t>08/01/2025</t>
  </si>
  <si>
    <t>07/01/2025</t>
  </si>
  <si>
    <t>06/01/2025</t>
  </si>
  <si>
    <t>03/01/2025</t>
  </si>
  <si>
    <t>02/01/2025</t>
  </si>
  <si>
    <t>01/01/2025</t>
  </si>
  <si>
    <t>31/12/2024</t>
  </si>
  <si>
    <t>30/12/2024</t>
  </si>
  <si>
    <t>27/12/2024</t>
  </si>
  <si>
    <t>26/12/2024</t>
  </si>
  <si>
    <t>25/12/2024</t>
  </si>
  <si>
    <t>24/12/2024</t>
  </si>
  <si>
    <t>23/12/2024</t>
  </si>
  <si>
    <t>20/12/2024</t>
  </si>
  <si>
    <t>19/12/2024</t>
  </si>
  <si>
    <t>18/12/2024</t>
  </si>
  <si>
    <t>17/12/2024</t>
  </si>
  <si>
    <t>16/12/2024</t>
  </si>
  <si>
    <t>13/12/2024</t>
  </si>
  <si>
    <t>12/12/2024</t>
  </si>
  <si>
    <t>11/12/2024</t>
  </si>
  <si>
    <t>10/12/2024</t>
  </si>
  <si>
    <t>09/12/2024</t>
  </si>
  <si>
    <t>06/12/2024</t>
  </si>
  <si>
    <t>05/12/2024</t>
  </si>
  <si>
    <t>04/12/2024</t>
  </si>
  <si>
    <t>03/12/2024</t>
  </si>
  <si>
    <t>02/12/2024</t>
  </si>
  <si>
    <t>29/11/2024</t>
  </si>
  <si>
    <t>28/11/2024</t>
  </si>
  <si>
    <t>27/11/2024</t>
  </si>
  <si>
    <t>26/11/2024</t>
  </si>
  <si>
    <t>25/11/2024</t>
  </si>
  <si>
    <t>22/11/2024</t>
  </si>
  <si>
    <t>21/11/2024</t>
  </si>
  <si>
    <t>20/11/2024</t>
  </si>
  <si>
    <t>19/11/2024</t>
  </si>
  <si>
    <t>18/11/2024</t>
  </si>
  <si>
    <t>15/11/2024</t>
  </si>
  <si>
    <t>14/11/2024</t>
  </si>
  <si>
    <t>13/11/2024</t>
  </si>
  <si>
    <t>12/11/2024</t>
  </si>
  <si>
    <t>11/11/2024</t>
  </si>
  <si>
    <t>08/11/2024</t>
  </si>
  <si>
    <t>07/11/2024</t>
  </si>
  <si>
    <t>06/11/2024</t>
  </si>
  <si>
    <t>05/11/2024</t>
  </si>
  <si>
    <t>04/11/2024</t>
  </si>
  <si>
    <t>01/11/2024</t>
  </si>
  <si>
    <t>31/10/2024</t>
  </si>
  <si>
    <t>30/10/2024</t>
  </si>
  <si>
    <t>29/10/2024</t>
  </si>
  <si>
    <t>28/10/2024</t>
  </si>
  <si>
    <t>25/10/2024</t>
  </si>
  <si>
    <t>24/10/2024</t>
  </si>
  <si>
    <t>23/10/2024</t>
  </si>
  <si>
    <t>22/10/2024</t>
  </si>
  <si>
    <t>21/10/2024</t>
  </si>
  <si>
    <t>18/10/2024</t>
  </si>
  <si>
    <t>17/10/2024</t>
  </si>
  <si>
    <t>16/10/2024</t>
  </si>
  <si>
    <t>15/10/2024</t>
  </si>
  <si>
    <t>14/10/2024</t>
  </si>
  <si>
    <t>11/10/2024</t>
  </si>
  <si>
    <t>10/10/2024</t>
  </si>
  <si>
    <t>09/10/2024</t>
  </si>
  <si>
    <t>08/10/2024</t>
  </si>
  <si>
    <t>07/10/2024</t>
  </si>
  <si>
    <t>04/10/2024</t>
  </si>
  <si>
    <t>03/10/2024</t>
  </si>
  <si>
    <t>02/10/2024</t>
  </si>
  <si>
    <t>01/10/2024</t>
  </si>
  <si>
    <t>30/09/2024</t>
  </si>
  <si>
    <t>27/09/2024</t>
  </si>
  <si>
    <t>26/09/2024</t>
  </si>
  <si>
    <t>25/09/2024</t>
  </si>
  <si>
    <t>24/09/2024</t>
  </si>
  <si>
    <t>23/09/2024</t>
  </si>
  <si>
    <t>20/09/2024</t>
  </si>
  <si>
    <t>19/09/2024</t>
  </si>
  <si>
    <t>18/09/2024</t>
  </si>
  <si>
    <t>17/09/2024</t>
  </si>
  <si>
    <t>16/09/2024</t>
  </si>
  <si>
    <t>13/09/2024</t>
  </si>
  <si>
    <t>12/09/2024</t>
  </si>
  <si>
    <t>11/09/2024</t>
  </si>
  <si>
    <t>10/09/2024</t>
  </si>
  <si>
    <t>09/09/2024</t>
  </si>
  <si>
    <t>06/09/2024</t>
  </si>
  <si>
    <t>05/09/2024</t>
  </si>
  <si>
    <t>04/09/2024</t>
  </si>
  <si>
    <t>03/09/2024</t>
  </si>
  <si>
    <t>02/09/2024</t>
  </si>
  <si>
    <t>30/08/2024</t>
  </si>
  <si>
    <t>29/08/2024</t>
  </si>
  <si>
    <t>28/08/2024</t>
  </si>
  <si>
    <t>27/08/2024</t>
  </si>
  <si>
    <t>26/08/2024</t>
  </si>
  <si>
    <t>23/08/2024</t>
  </si>
  <si>
    <t>22/08/2024</t>
  </si>
  <si>
    <t>21/08/2024</t>
  </si>
  <si>
    <t>20/08/2024</t>
  </si>
  <si>
    <t>19/08/2024</t>
  </si>
  <si>
    <t>16/08/2024</t>
  </si>
  <si>
    <t>15/08/2024</t>
  </si>
  <si>
    <t>14/08/2024</t>
  </si>
  <si>
    <t>13/08/2024</t>
  </si>
  <si>
    <t>12/08/2024</t>
  </si>
  <si>
    <t>09/08/2024</t>
  </si>
  <si>
    <t>08/08/2024</t>
  </si>
  <si>
    <t>07/08/2024</t>
  </si>
  <si>
    <t>06/08/2024</t>
  </si>
  <si>
    <t>05/08/2024</t>
  </si>
  <si>
    <t>02/08/2024</t>
  </si>
  <si>
    <t>01/08/2024</t>
  </si>
  <si>
    <t>31/07/2024</t>
  </si>
  <si>
    <t>30/07/2024</t>
  </si>
  <si>
    <t>29/07/2024</t>
  </si>
  <si>
    <t>26/07/2024</t>
  </si>
  <si>
    <t>25/07/2024</t>
  </si>
  <si>
    <t>24/07/2024</t>
  </si>
  <si>
    <t>23/07/2024</t>
  </si>
  <si>
    <t>22/07/2024</t>
  </si>
  <si>
    <t>19/07/2024</t>
  </si>
  <si>
    <t>18/07/2024</t>
  </si>
  <si>
    <t>17/07/2024</t>
  </si>
  <si>
    <t>16/07/2024</t>
  </si>
  <si>
    <t>15/07/2024</t>
  </si>
  <si>
    <t>12/07/2024</t>
  </si>
  <si>
    <t>11/07/2024</t>
  </si>
  <si>
    <t>10/07/2024</t>
  </si>
  <si>
    <t>09/07/2024</t>
  </si>
  <si>
    <t>08/07/2024</t>
  </si>
  <si>
    <t>05/07/2024</t>
  </si>
  <si>
    <t>04/07/2024</t>
  </si>
  <si>
    <t>03/07/2024</t>
  </si>
  <si>
    <t>02/07/2024</t>
  </si>
  <si>
    <t>01/07/2024</t>
  </si>
  <si>
    <t>28/06/2024</t>
  </si>
  <si>
    <t>27/06/2024</t>
  </si>
  <si>
    <t>26/06/2024</t>
  </si>
  <si>
    <t>25/06/2024</t>
  </si>
  <si>
    <t>24/06/2024</t>
  </si>
  <si>
    <t>21/06/2024</t>
  </si>
  <si>
    <t>20/06/2024</t>
  </si>
  <si>
    <t>19/06/2024</t>
  </si>
  <si>
    <t>18/06/2024</t>
  </si>
  <si>
    <t>17/06/2024</t>
  </si>
  <si>
    <t>14/06/2024</t>
  </si>
  <si>
    <t>13/06/2024</t>
  </si>
  <si>
    <t>12/06/2024</t>
  </si>
  <si>
    <t>11/06/2024</t>
  </si>
  <si>
    <t>10/06/2024</t>
  </si>
  <si>
    <t>07/06/2024</t>
  </si>
  <si>
    <t>06/06/2024</t>
  </si>
  <si>
    <t>05/06/2024</t>
  </si>
  <si>
    <t>04/06/2024</t>
  </si>
  <si>
    <t>03/06/2024</t>
  </si>
  <si>
    <t>31/05/2024</t>
  </si>
  <si>
    <t>30/05/2024</t>
  </si>
  <si>
    <t>29/05/2024</t>
  </si>
  <si>
    <t>28/05/2024</t>
  </si>
  <si>
    <t>27/05/2024</t>
  </si>
  <si>
    <t>24/05/2024</t>
  </si>
  <si>
    <t>23/05/2024</t>
  </si>
  <si>
    <t>22/05/2024</t>
  </si>
  <si>
    <t>21/05/2024</t>
  </si>
  <si>
    <t>20/05/2024</t>
  </si>
  <si>
    <t>17/05/2024</t>
  </si>
  <si>
    <t>16/05/2024</t>
  </si>
  <si>
    <t>15/05/2024</t>
  </si>
  <si>
    <t>14/05/2024</t>
  </si>
  <si>
    <t>13/05/2024</t>
  </si>
  <si>
    <t>10/05/2024</t>
  </si>
  <si>
    <t>09/05/2024</t>
  </si>
  <si>
    <t>08/05/2024</t>
  </si>
  <si>
    <t>07/05/2024</t>
  </si>
  <si>
    <t>06/05/2024</t>
  </si>
  <si>
    <t>03/05/2024</t>
  </si>
  <si>
    <t>02/05/2024</t>
  </si>
  <si>
    <t>01/05/2024</t>
  </si>
  <si>
    <t>30/04/2024</t>
  </si>
  <si>
    <t>29/04/2024</t>
  </si>
  <si>
    <t>26/04/2024</t>
  </si>
  <si>
    <t>25/04/2024</t>
  </si>
  <si>
    <t>24/04/2024</t>
  </si>
  <si>
    <t>23/04/2024</t>
  </si>
  <si>
    <t>22/04/2024</t>
  </si>
  <si>
    <t>19/04/2024</t>
  </si>
  <si>
    <t>18/04/2024</t>
  </si>
  <si>
    <t>17/04/2024</t>
  </si>
  <si>
    <t>16/04/2024</t>
  </si>
  <si>
    <t>15/04/2024</t>
  </si>
  <si>
    <t>12/04/2024</t>
  </si>
  <si>
    <t>11/04/2024</t>
  </si>
  <si>
    <t>10/04/2024</t>
  </si>
  <si>
    <t>09/04/2024</t>
  </si>
  <si>
    <t>08/04/2024</t>
  </si>
  <si>
    <t>05/04/2024</t>
  </si>
  <si>
    <t>04/04/2024</t>
  </si>
  <si>
    <t>03/04/2024</t>
  </si>
  <si>
    <t>02/04/2024</t>
  </si>
  <si>
    <t>01/04/2024</t>
  </si>
  <si>
    <t>29/03/2024</t>
  </si>
  <si>
    <t>28/03/2024</t>
  </si>
  <si>
    <t>27/03/2024</t>
  </si>
  <si>
    <t>26/03/2024</t>
  </si>
  <si>
    <t>25/03/2024</t>
  </si>
  <si>
    <t>22/03/2024</t>
  </si>
  <si>
    <t>21/03/2024</t>
  </si>
  <si>
    <t>20/03/2024</t>
  </si>
  <si>
    <t>19/03/2024</t>
  </si>
  <si>
    <t>18/03/2024</t>
  </si>
  <si>
    <t>15/03/2024</t>
  </si>
  <si>
    <t>14/03/2024</t>
  </si>
  <si>
    <t>13/03/2024</t>
  </si>
  <si>
    <t>12/03/2024</t>
  </si>
  <si>
    <t>11/03/2024</t>
  </si>
  <si>
    <t>08/03/2024</t>
  </si>
  <si>
    <t>07/03/2024</t>
  </si>
  <si>
    <t>06/03/2024</t>
  </si>
  <si>
    <t>05/03/2024</t>
  </si>
  <si>
    <t>04/03/2024</t>
  </si>
  <si>
    <t>01/03/2024</t>
  </si>
  <si>
    <t>29/02/2024</t>
  </si>
  <si>
    <t>28/02/2024</t>
  </si>
  <si>
    <t>27/02/2024</t>
  </si>
  <si>
    <t>26/02/2024</t>
  </si>
  <si>
    <t>23/02/2024</t>
  </si>
  <si>
    <t>22/02/2024</t>
  </si>
  <si>
    <t>21/02/2024</t>
  </si>
  <si>
    <t>20/02/2024</t>
  </si>
  <si>
    <t>19/02/2024</t>
  </si>
  <si>
    <t>16/02/2024</t>
  </si>
  <si>
    <t>15/02/2024</t>
  </si>
  <si>
    <t>14/02/2024</t>
  </si>
  <si>
    <t>13/02/2024</t>
  </si>
  <si>
    <t>12/02/2024</t>
  </si>
  <si>
    <t>09/02/2024</t>
  </si>
  <si>
    <t>08/02/2024</t>
  </si>
  <si>
    <t>07/02/2024</t>
  </si>
  <si>
    <t>06/02/2024</t>
  </si>
  <si>
    <t>05/02/2024</t>
  </si>
  <si>
    <t>02/02/2024</t>
  </si>
  <si>
    <t>01/02/2024</t>
  </si>
  <si>
    <t>31/01/2024</t>
  </si>
  <si>
    <t>30/01/2024</t>
  </si>
  <si>
    <t>29/01/2024</t>
  </si>
  <si>
    <t>26/01/2024</t>
  </si>
  <si>
    <t>25/01/2024</t>
  </si>
  <si>
    <t>24/01/2024</t>
  </si>
  <si>
    <t>23/01/2024</t>
  </si>
  <si>
    <t>22/01/2024</t>
  </si>
  <si>
    <t>19/01/2024</t>
  </si>
  <si>
    <t>18/01/2024</t>
  </si>
  <si>
    <t>17/01/2024</t>
  </si>
  <si>
    <t>16/01/2024</t>
  </si>
  <si>
    <t>15/01/2024</t>
  </si>
  <si>
    <t>12/01/2024</t>
  </si>
  <si>
    <t>11/01/2024</t>
  </si>
  <si>
    <t>10/01/2024</t>
  </si>
  <si>
    <t>09/01/2024</t>
  </si>
  <si>
    <t>08/01/2024</t>
  </si>
  <si>
    <t>05/01/2024</t>
  </si>
  <si>
    <t>04/01/2024</t>
  </si>
  <si>
    <t>03/01/2024</t>
  </si>
  <si>
    <t>02/01/2024</t>
  </si>
  <si>
    <t>01/01/2024</t>
  </si>
  <si>
    <t>29/12/2023</t>
  </si>
  <si>
    <t>28/12/2023</t>
  </si>
  <si>
    <t>27/12/2023</t>
  </si>
  <si>
    <t>26/12/2023</t>
  </si>
  <si>
    <t>25/12/2023</t>
  </si>
  <si>
    <t>22/12/2023</t>
  </si>
  <si>
    <t>21/12/2023</t>
  </si>
  <si>
    <t>20/12/2023</t>
  </si>
  <si>
    <t>19/12/2023</t>
  </si>
  <si>
    <t>18/12/2023</t>
  </si>
  <si>
    <t>15/12/2023</t>
  </si>
  <si>
    <t>14/12/2023</t>
  </si>
  <si>
    <t>13/12/2023</t>
  </si>
  <si>
    <t>12/12/2023</t>
  </si>
  <si>
    <t>11/12/2023</t>
  </si>
  <si>
    <t>08/12/2023</t>
  </si>
  <si>
    <t>07/12/2023</t>
  </si>
  <si>
    <t>06/12/2023</t>
  </si>
  <si>
    <t>05/12/2023</t>
  </si>
  <si>
    <t>04/12/2023</t>
  </si>
  <si>
    <t>01/12/2023</t>
  </si>
  <si>
    <t>30/11/2023</t>
  </si>
  <si>
    <t>29/11/2023</t>
  </si>
  <si>
    <t>28/11/2023</t>
  </si>
  <si>
    <t>27/11/2023</t>
  </si>
  <si>
    <t>24/11/2023</t>
  </si>
  <si>
    <t>23/11/2023</t>
  </si>
  <si>
    <t>22/11/2023</t>
  </si>
  <si>
    <t>21/11/2023</t>
  </si>
  <si>
    <t>20/11/2023</t>
  </si>
  <si>
    <t>17/11/2023</t>
  </si>
  <si>
    <t>16/11/2023</t>
  </si>
  <si>
    <t>15/11/2023</t>
  </si>
  <si>
    <t>14/11/2023</t>
  </si>
  <si>
    <t>13/11/2023</t>
  </si>
  <si>
    <t>10/11/2023</t>
  </si>
  <si>
    <t>09/11/2023</t>
  </si>
  <si>
    <t>08/11/2023</t>
  </si>
  <si>
    <t>07/11/2023</t>
  </si>
  <si>
    <t>06/11/2023</t>
  </si>
  <si>
    <t>03/11/2023</t>
  </si>
  <si>
    <t>02/11/2023</t>
  </si>
  <si>
    <t>01/11/2023</t>
  </si>
  <si>
    <t>31/10/2023</t>
  </si>
  <si>
    <t>30/10/2023</t>
  </si>
  <si>
    <t>27/10/2023</t>
  </si>
  <si>
    <t>26/10/2023</t>
  </si>
  <si>
    <t>25/10/2023</t>
  </si>
  <si>
    <t>24/10/2023</t>
  </si>
  <si>
    <t>23/10/2023</t>
  </si>
  <si>
    <t>20/10/2023</t>
  </si>
  <si>
    <t>19/10/2023</t>
  </si>
  <si>
    <t>18/10/2023</t>
  </si>
  <si>
    <t>17/10/2023</t>
  </si>
  <si>
    <t>16/10/2023</t>
  </si>
  <si>
    <t>13/10/2023</t>
  </si>
  <si>
    <t>12/10/2023</t>
  </si>
  <si>
    <t>11/10/2023</t>
  </si>
  <si>
    <t>10/10/2023</t>
  </si>
  <si>
    <t>09/10/2023</t>
  </si>
  <si>
    <t>06/10/2023</t>
  </si>
  <si>
    <t>05/10/2023</t>
  </si>
  <si>
    <t>04/10/2023</t>
  </si>
  <si>
    <t>03/10/2023</t>
  </si>
  <si>
    <t>02/10/2023</t>
  </si>
  <si>
    <t>29/09/2023</t>
  </si>
  <si>
    <t>28/09/2023</t>
  </si>
  <si>
    <t>27/09/2023</t>
  </si>
  <si>
    <t>26/09/2023</t>
  </si>
  <si>
    <t>25/09/2023</t>
  </si>
  <si>
    <t>22/09/2023</t>
  </si>
  <si>
    <t>21/09/2023</t>
  </si>
  <si>
    <t>20/09/2023</t>
  </si>
  <si>
    <t>19/09/2023</t>
  </si>
  <si>
    <t>18/09/2023</t>
  </si>
  <si>
    <t>15/09/2023</t>
  </si>
  <si>
    <t>14/09/2023</t>
  </si>
  <si>
    <t>13/09/2023</t>
  </si>
  <si>
    <t>12/09/2023</t>
  </si>
  <si>
    <t>11/09/2023</t>
  </si>
  <si>
    <t>08/09/2023</t>
  </si>
  <si>
    <t>07/09/2023</t>
  </si>
  <si>
    <t>06/09/2023</t>
  </si>
  <si>
    <t>05/09/2023</t>
  </si>
  <si>
    <t>04/09/2023</t>
  </si>
  <si>
    <t>01/09/2023</t>
  </si>
  <si>
    <t>31/08/2023</t>
  </si>
  <si>
    <t>30/08/2023</t>
  </si>
  <si>
    <t>29/08/2023</t>
  </si>
  <si>
    <t>28/08/2023</t>
  </si>
  <si>
    <t>25/08/2023</t>
  </si>
  <si>
    <t>24/08/2023</t>
  </si>
  <si>
    <t>23/08/2023</t>
  </si>
  <si>
    <t>22/08/2023</t>
  </si>
  <si>
    <t>21/08/2023</t>
  </si>
  <si>
    <t>18/08/2023</t>
  </si>
  <si>
    <t>17/08/2023</t>
  </si>
  <si>
    <t>16/08/2023</t>
  </si>
  <si>
    <t>15/08/2023</t>
  </si>
  <si>
    <t>14/08/2023</t>
  </si>
  <si>
    <t>11/08/2023</t>
  </si>
  <si>
    <t>10/08/2023</t>
  </si>
  <si>
    <t>09/08/2023</t>
  </si>
  <si>
    <t>08/08/2023</t>
  </si>
  <si>
    <t>07/08/2023</t>
  </si>
  <si>
    <t>04/08/2023</t>
  </si>
  <si>
    <t>03/08/2023</t>
  </si>
  <si>
    <t>02/08/2023</t>
  </si>
  <si>
    <t>01/08/2023</t>
  </si>
  <si>
    <t>31/07/2023</t>
  </si>
  <si>
    <t>28/07/2023</t>
  </si>
  <si>
    <t>27/07/2023</t>
  </si>
  <si>
    <t>26/07/2023</t>
  </si>
  <si>
    <t>25/07/2023</t>
  </si>
  <si>
    <t>24/07/2023</t>
  </si>
  <si>
    <t>21/07/2023</t>
  </si>
  <si>
    <t>20/07/2023</t>
  </si>
  <si>
    <t>19/07/2023</t>
  </si>
  <si>
    <t>18/07/2023</t>
  </si>
  <si>
    <t>17/07/2023</t>
  </si>
  <si>
    <t>14/07/2023</t>
  </si>
  <si>
    <t>13/07/2023</t>
  </si>
  <si>
    <t>12/07/2023</t>
  </si>
  <si>
    <t>11/07/2023</t>
  </si>
  <si>
    <t>10/07/2023</t>
  </si>
  <si>
    <t>07/07/2023</t>
  </si>
  <si>
    <t>06/07/2023</t>
  </si>
  <si>
    <t>05/07/2023</t>
  </si>
  <si>
    <t>04/07/2023</t>
  </si>
  <si>
    <t>03/07/2023</t>
  </si>
  <si>
    <t>30/06/2023</t>
  </si>
  <si>
    <t>29/06/2023</t>
  </si>
  <si>
    <t>28/06/2023</t>
  </si>
  <si>
    <t>27/06/2023</t>
  </si>
  <si>
    <t>26/06/2023</t>
  </si>
  <si>
    <t>23/06/2023</t>
  </si>
  <si>
    <t>22/06/2023</t>
  </si>
  <si>
    <t>21/06/2023</t>
  </si>
  <si>
    <t>20/06/2023</t>
  </si>
  <si>
    <t>19/06/2023</t>
  </si>
  <si>
    <t>16/06/2023</t>
  </si>
  <si>
    <t>15/06/2023</t>
  </si>
  <si>
    <t>14/06/2023</t>
  </si>
  <si>
    <t>13/06/2023</t>
  </si>
  <si>
    <t>12/06/2023</t>
  </si>
  <si>
    <t>09/06/2023</t>
  </si>
  <si>
    <t>08/06/2023</t>
  </si>
  <si>
    <t>07/06/2023</t>
  </si>
  <si>
    <t>06/06/2023</t>
  </si>
  <si>
    <t>05/06/2023</t>
  </si>
  <si>
    <t>02/06/2023</t>
  </si>
  <si>
    <t>01/06/2023</t>
  </si>
  <si>
    <t>31/05/2023</t>
  </si>
  <si>
    <t>30/05/2023</t>
  </si>
  <si>
    <t>29/05/2023</t>
  </si>
  <si>
    <t>26/05/2023</t>
  </si>
  <si>
    <t>25/05/2023</t>
  </si>
  <si>
    <t>24/05/2023</t>
  </si>
  <si>
    <t>23/05/2023</t>
  </si>
  <si>
    <t>22/05/2023</t>
  </si>
  <si>
    <t>19/05/2023</t>
  </si>
  <si>
    <t>18/05/2023</t>
  </si>
  <si>
    <t>17/05/2023</t>
  </si>
  <si>
    <t>16/05/2023</t>
  </si>
  <si>
    <t>15/05/2023</t>
  </si>
  <si>
    <t>12/05/2023</t>
  </si>
  <si>
    <t>11/05/2023</t>
  </si>
  <si>
    <t>10/05/2023</t>
  </si>
  <si>
    <t>09/05/2023</t>
  </si>
  <si>
    <t>08/05/2023</t>
  </si>
  <si>
    <t>05/05/2023</t>
  </si>
  <si>
    <t>04/05/2023</t>
  </si>
  <si>
    <t>03/05/2023</t>
  </si>
  <si>
    <t>02/05/2023</t>
  </si>
  <si>
    <t>01/05/2023</t>
  </si>
  <si>
    <t>28/04/2023</t>
  </si>
  <si>
    <t>27/04/2023</t>
  </si>
  <si>
    <t>26/04/2023</t>
  </si>
  <si>
    <t>25/04/2023</t>
  </si>
  <si>
    <t>24/04/2023</t>
  </si>
  <si>
    <t>21/04/2023</t>
  </si>
  <si>
    <t>20/04/2023</t>
  </si>
  <si>
    <t>19/04/2023</t>
  </si>
  <si>
    <t>18/04/2023</t>
  </si>
  <si>
    <t>17/04/2023</t>
  </si>
  <si>
    <t>14/04/2023</t>
  </si>
  <si>
    <t>13/04/2023</t>
  </si>
  <si>
    <t>12/04/2023</t>
  </si>
  <si>
    <t>11/04/2023</t>
  </si>
  <si>
    <t>10/04/2023</t>
  </si>
  <si>
    <t>07/04/2023</t>
  </si>
  <si>
    <t>06/04/2023</t>
  </si>
  <si>
    <t>05/04/2023</t>
  </si>
  <si>
    <t>04/04/2023</t>
  </si>
  <si>
    <t>03/04/2023</t>
  </si>
  <si>
    <t>31/03/2023</t>
  </si>
  <si>
    <t>30/03/2023</t>
  </si>
  <si>
    <t>29/03/2023</t>
  </si>
  <si>
    <t>28/03/2023</t>
  </si>
  <si>
    <t>27/03/2023</t>
  </si>
  <si>
    <t>24/03/2023</t>
  </si>
  <si>
    <t>23/03/2023</t>
  </si>
  <si>
    <t>22/03/2023</t>
  </si>
  <si>
    <t>21/03/2023</t>
  </si>
  <si>
    <t>20/03/2023</t>
  </si>
  <si>
    <t>17/03/2023</t>
  </si>
  <si>
    <t>16/03/2023</t>
  </si>
  <si>
    <t>15/03/2023</t>
  </si>
  <si>
    <t>14/03/2023</t>
  </si>
  <si>
    <t>13/03/2023</t>
  </si>
  <si>
    <t>10/03/2023</t>
  </si>
  <si>
    <t>09/03/2023</t>
  </si>
  <si>
    <t>08/03/2023</t>
  </si>
  <si>
    <t>07/03/2023</t>
  </si>
  <si>
    <t>06/03/2023</t>
  </si>
  <si>
    <t>03/03/2023</t>
  </si>
  <si>
    <t>02/03/2023</t>
  </si>
  <si>
    <t>01/03/2023</t>
  </si>
  <si>
    <t>28/02/2023</t>
  </si>
  <si>
    <t>27/02/2023</t>
  </si>
  <si>
    <t>24/02/2023</t>
  </si>
  <si>
    <t>23/02/2023</t>
  </si>
  <si>
    <t>22/02/2023</t>
  </si>
  <si>
    <t>21/02/2023</t>
  </si>
  <si>
    <t>20/02/2023</t>
  </si>
  <si>
    <t>17/02/2023</t>
  </si>
  <si>
    <t>16/02/2023</t>
  </si>
  <si>
    <t>15/02/2023</t>
  </si>
  <si>
    <t>14/02/2023</t>
  </si>
  <si>
    <t>13/02/2023</t>
  </si>
  <si>
    <t>10/02/2023</t>
  </si>
  <si>
    <t>09/02/2023</t>
  </si>
  <si>
    <t>08/02/2023</t>
  </si>
  <si>
    <t>07/02/2023</t>
  </si>
  <si>
    <t>06/02/2023</t>
  </si>
  <si>
    <t>03/02/2023</t>
  </si>
  <si>
    <t>02/02/2023</t>
  </si>
  <si>
    <t>01/02/2023</t>
  </si>
  <si>
    <t>31/01/2023</t>
  </si>
  <si>
    <t>30/01/2023</t>
  </si>
  <si>
    <t>27/01/2023</t>
  </si>
  <si>
    <t>26/01/2023</t>
  </si>
  <si>
    <t>25/01/2023</t>
  </si>
  <si>
    <t>24/01/2023</t>
  </si>
  <si>
    <t>23/01/2023</t>
  </si>
  <si>
    <t>20/01/2023</t>
  </si>
  <si>
    <t>19/01/2023</t>
  </si>
  <si>
    <t>18/01/2023</t>
  </si>
  <si>
    <t>17/01/2023</t>
  </si>
  <si>
    <t>16/01/2023</t>
  </si>
  <si>
    <t>13/01/2023</t>
  </si>
  <si>
    <t>12/01/2023</t>
  </si>
  <si>
    <t>11/01/2023</t>
  </si>
  <si>
    <t>10/01/2023</t>
  </si>
  <si>
    <t>09/01/2023</t>
  </si>
  <si>
    <t>06/01/2023</t>
  </si>
  <si>
    <t>05/01/2023</t>
  </si>
  <si>
    <t>04/01/2023</t>
  </si>
  <si>
    <t>03/01/2023</t>
  </si>
  <si>
    <t>02/01/2023</t>
  </si>
  <si>
    <t>Year</t>
  </si>
  <si>
    <t>Month</t>
  </si>
  <si>
    <t>YearMonth</t>
  </si>
  <si>
    <t>Week</t>
  </si>
  <si>
    <t>Weekday</t>
  </si>
  <si>
    <t>KPI</t>
  </si>
  <si>
    <t>Values</t>
  </si>
  <si>
    <t>Current Rate</t>
  </si>
  <si>
    <t>Previous Rate</t>
  </si>
  <si>
    <t>Rate Change</t>
  </si>
  <si>
    <t>Average Rate</t>
  </si>
  <si>
    <t>Max Rate</t>
  </si>
  <si>
    <t>Min Rate</t>
  </si>
  <si>
    <t>Volatilty</t>
  </si>
  <si>
    <t>Rolling 7-Day Avg</t>
  </si>
  <si>
    <t>Row Labels</t>
  </si>
  <si>
    <t>2023-03</t>
  </si>
  <si>
    <t>2023-07</t>
  </si>
  <si>
    <t>2023-08</t>
  </si>
  <si>
    <t>2023-09</t>
  </si>
  <si>
    <t>2023-10</t>
  </si>
  <si>
    <t>2023-12</t>
  </si>
  <si>
    <t>2024-03</t>
  </si>
  <si>
    <t>2024-07</t>
  </si>
  <si>
    <t>2024-08</t>
  </si>
  <si>
    <t>2024-09</t>
  </si>
  <si>
    <t>2024-10</t>
  </si>
  <si>
    <t>2024-12</t>
  </si>
  <si>
    <t>2025-03</t>
  </si>
  <si>
    <t>2025-07</t>
  </si>
  <si>
    <t>2025-08</t>
  </si>
  <si>
    <t>2025-09</t>
  </si>
  <si>
    <t>2025-10</t>
  </si>
  <si>
    <t>2025-12</t>
  </si>
  <si>
    <t>Grand Total</t>
  </si>
  <si>
    <t>Month_Num2</t>
  </si>
  <si>
    <t>Average of Rate</t>
  </si>
  <si>
    <t>% Change</t>
  </si>
  <si>
    <t>Max of High</t>
  </si>
  <si>
    <t>Min of Low</t>
  </si>
  <si>
    <t>StdDev of Rate</t>
  </si>
  <si>
    <t>2023</t>
  </si>
  <si>
    <t>2024</t>
  </si>
  <si>
    <t>2025</t>
  </si>
  <si>
    <t>Average of Change %</t>
  </si>
  <si>
    <t>Monthly Trend</t>
  </si>
  <si>
    <t>High vs Low Spread</t>
  </si>
  <si>
    <t>Monthly Volatility</t>
  </si>
  <si>
    <t>Change % Trend</t>
  </si>
  <si>
    <t>StdDevp of Rolling 7-Day Avg</t>
  </si>
  <si>
    <t>Average of High</t>
  </si>
  <si>
    <t>Average of Low</t>
  </si>
  <si>
    <t>Max of Rate</t>
  </si>
  <si>
    <t>Min of Rate</t>
  </si>
  <si>
    <t>2023-06</t>
  </si>
  <si>
    <t>2024-06</t>
  </si>
  <si>
    <t>2025-06</t>
  </si>
  <si>
    <t>2023-11</t>
  </si>
  <si>
    <t>2025-11</t>
  </si>
  <si>
    <t>2024-11</t>
  </si>
  <si>
    <t>Count of Rate</t>
  </si>
  <si>
    <t>2023-01</t>
  </si>
  <si>
    <t>2024-01</t>
  </si>
  <si>
    <t>2025-01</t>
  </si>
  <si>
    <t>2026-01</t>
  </si>
  <si>
    <t>2026</t>
  </si>
  <si>
    <t>2023-04</t>
  </si>
  <si>
    <t>2024-04</t>
  </si>
  <si>
    <t>2025-04</t>
  </si>
  <si>
    <t>2023-05</t>
  </si>
  <si>
    <t>2024-05</t>
  </si>
  <si>
    <t>2025-05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</si>
</sst>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d\-mmm\-yy;@"/>
    <numFmt numFmtId="165" formatCode="dd/mm/yyyy;@"/>
    <numFmt numFmtId="166" formatCode="0.00000"/>
    <numFmt numFmtId="167" formatCode="[$-409]mmmm\ d\,\ yyyy;@"/>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7"/>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5">
    <xf numFmtId="0" fontId="0" fillId="0" borderId="0" xfId="0"/>
    <xf numFmtId="0" fontId="0" fillId="0" borderId="0" xfId="0" applyNumberFormat="1"/>
    <xf numFmtId="2"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5" fontId="0" fillId="0" borderId="0" xfId="0" applyNumberFormat="1"/>
    <xf numFmtId="2" fontId="0" fillId="0" borderId="0" xfId="0" quotePrefix="1" applyNumberFormat="1"/>
    <xf numFmtId="10" fontId="0" fillId="0" borderId="0" xfId="0" applyNumberFormat="1"/>
    <xf numFmtId="0" fontId="0" fillId="3" borderId="0" xfId="0" applyFill="1"/>
    <xf numFmtId="2" fontId="1" fillId="2" borderId="1" xfId="0" applyNumberFormat="1" applyFont="1" applyFill="1" applyBorder="1"/>
    <xf numFmtId="2" fontId="0" fillId="0" borderId="0" xfId="0" applyNumberFormat="1" applyAlignment="1">
      <alignment horizontal="left"/>
    </xf>
  </cellXfs>
  <cellStyles count="1">
    <cellStyle name="Normal" xfId="0" builtinId="0"/>
  </cellStyles>
  <dxfs count="41">
    <dxf>
      <numFmt numFmtId="168" formatCode="0.00000000"/>
    </dxf>
    <dxf>
      <numFmt numFmtId="169" formatCode="0.0000000"/>
    </dxf>
    <dxf>
      <numFmt numFmtId="170" formatCode="0.000000"/>
    </dxf>
    <dxf>
      <numFmt numFmtId="166" formatCode="0.00000"/>
    </dxf>
    <dxf>
      <numFmt numFmtId="168" formatCode="0.00000000"/>
    </dxf>
    <dxf>
      <numFmt numFmtId="169" formatCode="0.0000000"/>
    </dxf>
    <dxf>
      <numFmt numFmtId="170" formatCode="0.000000"/>
    </dxf>
    <dxf>
      <numFmt numFmtId="166" formatCode="0.00000"/>
    </dxf>
    <dxf>
      <numFmt numFmtId="168" formatCode="0.00000000"/>
    </dxf>
    <dxf>
      <numFmt numFmtId="169" formatCode="0.0000000"/>
    </dxf>
    <dxf>
      <numFmt numFmtId="170" formatCode="0.000000"/>
    </dxf>
    <dxf>
      <numFmt numFmtId="166" formatCode="0.00000"/>
    </dxf>
    <dxf>
      <numFmt numFmtId="168" formatCode="0.00000000"/>
    </dxf>
    <dxf>
      <numFmt numFmtId="169" formatCode="0.0000000"/>
    </dxf>
    <dxf>
      <numFmt numFmtId="170" formatCode="0.000000"/>
    </dxf>
    <dxf>
      <numFmt numFmtId="166" formatCode="0.00000"/>
    </dxf>
    <dxf>
      <numFmt numFmtId="168" formatCode="0.00000000"/>
    </dxf>
    <dxf>
      <numFmt numFmtId="169" formatCode="0.0000000"/>
    </dxf>
    <dxf>
      <numFmt numFmtId="170" formatCode="0.000000"/>
    </dxf>
    <dxf>
      <numFmt numFmtId="166" formatCode="0.00000"/>
    </dxf>
    <dxf>
      <numFmt numFmtId="166" formatCode="0.00000"/>
    </dxf>
    <dxf>
      <numFmt numFmtId="170" formatCode="0.000000"/>
    </dxf>
    <dxf>
      <numFmt numFmtId="169" formatCode="0.0000000"/>
    </dxf>
    <dxf>
      <numFmt numFmtId="168"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dd/mm/yyyy;@"/>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RateData" pivot="0" count="0"/>
  </tableStyles>
  <colors>
    <mruColors>
      <color rgb="FF18BE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[Treasury Dashboard.xlsx]Calculation!PivotTable6</c:name>
    <c:fmtId val="8"/>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YEARLY TREND</a:t>
            </a:r>
          </a:p>
        </c:rich>
      </c:tx>
      <c:layout>
        <c:manualLayout>
          <c:xMode val="edge"/>
          <c:yMode val="edge"/>
          <c:x val="0.33692913385826773"/>
          <c:y val="4.3478260869565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00B050"/>
          </a:solidFill>
          <a:ln>
            <a:noFill/>
          </a:ln>
          <a:effectLst/>
        </c:spPr>
        <c:marker>
          <c:symbol val="none"/>
        </c:marker>
      </c:pivotFmt>
    </c:pivotFmts>
    <c:plotArea>
      <c:layout>
        <c:manualLayout>
          <c:layoutTarget val="inner"/>
          <c:xMode val="edge"/>
          <c:yMode val="edge"/>
          <c:x val="0.11058714117428235"/>
          <c:y val="0.16454981170831903"/>
          <c:w val="0.82642073284146567"/>
          <c:h val="0.62553870983518367"/>
        </c:manualLayout>
      </c:layout>
      <c:barChart>
        <c:barDir val="col"/>
        <c:grouping val="clustered"/>
        <c:varyColors val="0"/>
        <c:ser>
          <c:idx val="0"/>
          <c:order val="0"/>
          <c:tx>
            <c:strRef>
              <c:f>Calculation!$E$2</c:f>
              <c:strCache>
                <c:ptCount val="1"/>
                <c:pt idx="0">
                  <c:v>Total</c:v>
                </c:pt>
              </c:strCache>
            </c:strRef>
          </c:tx>
          <c:spPr>
            <a:solidFill>
              <a:srgbClr val="00B050"/>
            </a:solidFill>
            <a:ln>
              <a:noFill/>
            </a:ln>
            <a:effectLst/>
          </c:spPr>
          <c:invertIfNegative val="0"/>
          <c:cat>
            <c:strRef>
              <c:f>Calculation!$D$3:$D$7</c:f>
              <c:strCache>
                <c:ptCount val="4"/>
                <c:pt idx="0">
                  <c:v>2023.00</c:v>
                </c:pt>
                <c:pt idx="1">
                  <c:v>2024.00</c:v>
                </c:pt>
                <c:pt idx="2">
                  <c:v>2025.00</c:v>
                </c:pt>
                <c:pt idx="3">
                  <c:v>2026.00</c:v>
                </c:pt>
              </c:strCache>
            </c:strRef>
          </c:cat>
          <c:val>
            <c:numRef>
              <c:f>Calculation!$E$3:$E$7</c:f>
              <c:numCache>
                <c:formatCode>General</c:formatCode>
                <c:ptCount val="4"/>
                <c:pt idx="0">
                  <c:v>650.98608333333334</c:v>
                </c:pt>
                <c:pt idx="1">
                  <c:v>1476.6747302904571</c:v>
                </c:pt>
                <c:pt idx="2">
                  <c:v>1520.577116182573</c:v>
                </c:pt>
                <c:pt idx="3">
                  <c:v>1418.7645454545454</c:v>
                </c:pt>
              </c:numCache>
            </c:numRef>
          </c:val>
          <c:extLst>
            <c:ext xmlns:c16="http://schemas.microsoft.com/office/drawing/2014/chart" uri="{C3380CC4-5D6E-409C-BE32-E72D297353CC}">
              <c16:uniqueId val="{00000000-9C8B-42A9-88B4-894B70184111}"/>
            </c:ext>
          </c:extLst>
        </c:ser>
        <c:dLbls>
          <c:showLegendKey val="0"/>
          <c:showVal val="0"/>
          <c:showCatName val="0"/>
          <c:showSerName val="0"/>
          <c:showPercent val="0"/>
          <c:showBubbleSize val="0"/>
        </c:dLbls>
        <c:gapWidth val="150"/>
        <c:axId val="1122981232"/>
        <c:axId val="1122986224"/>
      </c:barChart>
      <c:catAx>
        <c:axId val="112298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986224"/>
        <c:crosses val="autoZero"/>
        <c:auto val="1"/>
        <c:lblAlgn val="ctr"/>
        <c:lblOffset val="100"/>
        <c:noMultiLvlLbl val="0"/>
      </c:catAx>
      <c:valAx>
        <c:axId val="1122986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981232"/>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[Treasury Dashboard.xlsx]Calculation!PivotTable9</c:name>
    <c:fmtId val="2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CHANGE %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Calculation!$O$2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DB-4B1E-A07C-723F5826E6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DB-4B1E-A07C-723F5826E6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DB-4B1E-A07C-723F5826E6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DB-4B1E-A07C-723F5826E6C3}"/>
              </c:ext>
            </c:extLst>
          </c:dPt>
          <c:cat>
            <c:strRef>
              <c:f>Calculation!$N$3:$N$7</c:f>
              <c:strCache>
                <c:ptCount val="4"/>
                <c:pt idx="0">
                  <c:v>2023</c:v>
                </c:pt>
                <c:pt idx="1">
                  <c:v>2024</c:v>
                </c:pt>
                <c:pt idx="2">
                  <c:v>2025</c:v>
                </c:pt>
                <c:pt idx="3">
                  <c:v>2026</c:v>
                </c:pt>
              </c:strCache>
            </c:strRef>
          </c:cat>
          <c:val>
            <c:numRef>
              <c:f>Calculation!$O$3:$O$7</c:f>
              <c:numCache>
                <c:formatCode>General</c:formatCode>
                <c:ptCount val="4"/>
                <c:pt idx="0">
                  <c:v>3.1937500000000013E-3</c:v>
                </c:pt>
                <c:pt idx="1">
                  <c:v>1.6319502074688798E-3</c:v>
                </c:pt>
                <c:pt idx="2">
                  <c:v>-2.8713692946058078E-4</c:v>
                </c:pt>
                <c:pt idx="3">
                  <c:v>-1.8545454545454544E-3</c:v>
                </c:pt>
              </c:numCache>
            </c:numRef>
          </c:val>
          <c:extLst>
            <c:ext xmlns:c16="http://schemas.microsoft.com/office/drawing/2014/chart" uri="{C3380CC4-5D6E-409C-BE32-E72D297353CC}">
              <c16:uniqueId val="{0000000B-BD3B-4510-8066-D918C506B15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[Treasury Dashboard.xlsx]Calculation!PivotTable7</c:name>
    <c:fmtId val="4"/>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High</a:t>
            </a:r>
            <a:r>
              <a:rPr lang="en-US" baseline="0">
                <a:solidFill>
                  <a:srgbClr val="FF0000"/>
                </a:solidFill>
              </a:rPr>
              <a:t> vs Low Spread</a:t>
            </a:r>
            <a:endParaRPr lang="en-US">
              <a:solidFill>
                <a:srgbClr val="FF0000"/>
              </a:solidFill>
            </a:endParaRPr>
          </a:p>
        </c:rich>
      </c:tx>
      <c:layout>
        <c:manualLayout>
          <c:xMode val="edge"/>
          <c:yMode val="edge"/>
          <c:x val="0.37242344706911634"/>
          <c:y val="1.8126888217522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Calculation!$H$2</c:f>
              <c:strCache>
                <c:ptCount val="1"/>
                <c:pt idx="0">
                  <c:v>Max of High</c:v>
                </c:pt>
              </c:strCache>
            </c:strRef>
          </c:tx>
          <c:spPr>
            <a:ln w="28575" cap="rnd">
              <a:solidFill>
                <a:schemeClr val="accent1"/>
              </a:solidFill>
              <a:round/>
            </a:ln>
            <a:effectLst/>
          </c:spPr>
          <c:marker>
            <c:symbol val="none"/>
          </c:marker>
          <c:cat>
            <c:strRef>
              <c:f>Calculation!$G$3:$G$37</c:f>
              <c:strCache>
                <c:ptCount val="34"/>
                <c:pt idx="0">
                  <c:v>2023-01</c:v>
                </c:pt>
                <c:pt idx="1">
                  <c:v>2023-03</c:v>
                </c:pt>
                <c:pt idx="2">
                  <c:v>2023-04</c:v>
                </c:pt>
                <c:pt idx="3">
                  <c:v>2023-05</c:v>
                </c:pt>
                <c:pt idx="4">
                  <c:v>2023-06</c:v>
                </c:pt>
                <c:pt idx="5">
                  <c:v>2023-07</c:v>
                </c:pt>
                <c:pt idx="6">
                  <c:v>2023-08</c:v>
                </c:pt>
                <c:pt idx="7">
                  <c:v>2023-09</c:v>
                </c:pt>
                <c:pt idx="8">
                  <c:v>2023-10</c:v>
                </c:pt>
                <c:pt idx="9">
                  <c:v>2023-11</c:v>
                </c:pt>
                <c:pt idx="10">
                  <c:v>2023-12</c:v>
                </c:pt>
                <c:pt idx="11">
                  <c:v>2024-01</c:v>
                </c:pt>
                <c:pt idx="12">
                  <c:v>2024-03</c:v>
                </c:pt>
                <c:pt idx="13">
                  <c:v>2024-04</c:v>
                </c:pt>
                <c:pt idx="14">
                  <c:v>2024-05</c:v>
                </c:pt>
                <c:pt idx="15">
                  <c:v>2024-06</c:v>
                </c:pt>
                <c:pt idx="16">
                  <c:v>2024-07</c:v>
                </c:pt>
                <c:pt idx="17">
                  <c:v>2024-08</c:v>
                </c:pt>
                <c:pt idx="18">
                  <c:v>2024-09</c:v>
                </c:pt>
                <c:pt idx="19">
                  <c:v>2024-10</c:v>
                </c:pt>
                <c:pt idx="20">
                  <c:v>2024-11</c:v>
                </c:pt>
                <c:pt idx="21">
                  <c:v>2024-12</c:v>
                </c:pt>
                <c:pt idx="22">
                  <c:v>2025-01</c:v>
                </c:pt>
                <c:pt idx="23">
                  <c:v>2025-03</c:v>
                </c:pt>
                <c:pt idx="24">
                  <c:v>2025-04</c:v>
                </c:pt>
                <c:pt idx="25">
                  <c:v>2025-05</c:v>
                </c:pt>
                <c:pt idx="26">
                  <c:v>2025-06</c:v>
                </c:pt>
                <c:pt idx="27">
                  <c:v>2025-07</c:v>
                </c:pt>
                <c:pt idx="28">
                  <c:v>2025-08</c:v>
                </c:pt>
                <c:pt idx="29">
                  <c:v>2025-09</c:v>
                </c:pt>
                <c:pt idx="30">
                  <c:v>2025-10</c:v>
                </c:pt>
                <c:pt idx="31">
                  <c:v>2025-11</c:v>
                </c:pt>
                <c:pt idx="32">
                  <c:v>2025-12</c:v>
                </c:pt>
                <c:pt idx="33">
                  <c:v>2026-01</c:v>
                </c:pt>
              </c:strCache>
            </c:strRef>
          </c:cat>
          <c:val>
            <c:numRef>
              <c:f>Calculation!$H$3:$H$37</c:f>
              <c:numCache>
                <c:formatCode>General</c:formatCode>
                <c:ptCount val="34"/>
                <c:pt idx="0">
                  <c:v>460.52</c:v>
                </c:pt>
                <c:pt idx="1">
                  <c:v>460.55</c:v>
                </c:pt>
                <c:pt idx="2">
                  <c:v>460.54</c:v>
                </c:pt>
                <c:pt idx="3">
                  <c:v>465.5</c:v>
                </c:pt>
                <c:pt idx="4">
                  <c:v>775.5</c:v>
                </c:pt>
                <c:pt idx="5">
                  <c:v>799.5</c:v>
                </c:pt>
                <c:pt idx="6">
                  <c:v>792.5</c:v>
                </c:pt>
                <c:pt idx="7">
                  <c:v>798.5</c:v>
                </c:pt>
                <c:pt idx="8">
                  <c:v>884.5</c:v>
                </c:pt>
                <c:pt idx="9">
                  <c:v>846</c:v>
                </c:pt>
                <c:pt idx="10">
                  <c:v>906.39</c:v>
                </c:pt>
                <c:pt idx="11">
                  <c:v>1250.75</c:v>
                </c:pt>
                <c:pt idx="12">
                  <c:v>1661</c:v>
                </c:pt>
                <c:pt idx="13">
                  <c:v>1450</c:v>
                </c:pt>
                <c:pt idx="14">
                  <c:v>1545</c:v>
                </c:pt>
                <c:pt idx="15">
                  <c:v>1535</c:v>
                </c:pt>
                <c:pt idx="16">
                  <c:v>1670</c:v>
                </c:pt>
                <c:pt idx="17">
                  <c:v>1665</c:v>
                </c:pt>
                <c:pt idx="18">
                  <c:v>1683.11</c:v>
                </c:pt>
                <c:pt idx="19">
                  <c:v>1690.0550000000001</c:v>
                </c:pt>
                <c:pt idx="20">
                  <c:v>1717.5</c:v>
                </c:pt>
                <c:pt idx="21">
                  <c:v>1707.5</c:v>
                </c:pt>
                <c:pt idx="22">
                  <c:v>1573.6</c:v>
                </c:pt>
                <c:pt idx="23">
                  <c:v>1560</c:v>
                </c:pt>
                <c:pt idx="24">
                  <c:v>1643.21</c:v>
                </c:pt>
                <c:pt idx="25">
                  <c:v>1613.895</c:v>
                </c:pt>
                <c:pt idx="26">
                  <c:v>1590.5</c:v>
                </c:pt>
                <c:pt idx="27">
                  <c:v>1545</c:v>
                </c:pt>
                <c:pt idx="28">
                  <c:v>1539.625</c:v>
                </c:pt>
                <c:pt idx="29">
                  <c:v>1539.5050000000001</c:v>
                </c:pt>
                <c:pt idx="30">
                  <c:v>1503.75</c:v>
                </c:pt>
                <c:pt idx="31">
                  <c:v>1459.5</c:v>
                </c:pt>
                <c:pt idx="32">
                  <c:v>1464.5550000000001</c:v>
                </c:pt>
                <c:pt idx="33">
                  <c:v>1446.5</c:v>
                </c:pt>
              </c:numCache>
            </c:numRef>
          </c:val>
          <c:smooth val="0"/>
          <c:extLst>
            <c:ext xmlns:c16="http://schemas.microsoft.com/office/drawing/2014/chart" uri="{C3380CC4-5D6E-409C-BE32-E72D297353CC}">
              <c16:uniqueId val="{00000000-04A4-4067-A00A-048355167BE4}"/>
            </c:ext>
          </c:extLst>
        </c:ser>
        <c:ser>
          <c:idx val="1"/>
          <c:order val="1"/>
          <c:tx>
            <c:strRef>
              <c:f>Calculation!$I$2</c:f>
              <c:strCache>
                <c:ptCount val="1"/>
                <c:pt idx="0">
                  <c:v>Min of Low</c:v>
                </c:pt>
              </c:strCache>
            </c:strRef>
          </c:tx>
          <c:spPr>
            <a:ln w="28575" cap="rnd">
              <a:solidFill>
                <a:schemeClr val="accent2"/>
              </a:solidFill>
              <a:round/>
            </a:ln>
            <a:effectLst/>
          </c:spPr>
          <c:marker>
            <c:symbol val="none"/>
          </c:marker>
          <c:cat>
            <c:strRef>
              <c:f>Calculation!$G$3:$G$37</c:f>
              <c:strCache>
                <c:ptCount val="34"/>
                <c:pt idx="0">
                  <c:v>2023-01</c:v>
                </c:pt>
                <c:pt idx="1">
                  <c:v>2023-03</c:v>
                </c:pt>
                <c:pt idx="2">
                  <c:v>2023-04</c:v>
                </c:pt>
                <c:pt idx="3">
                  <c:v>2023-05</c:v>
                </c:pt>
                <c:pt idx="4">
                  <c:v>2023-06</c:v>
                </c:pt>
                <c:pt idx="5">
                  <c:v>2023-07</c:v>
                </c:pt>
                <c:pt idx="6">
                  <c:v>2023-08</c:v>
                </c:pt>
                <c:pt idx="7">
                  <c:v>2023-09</c:v>
                </c:pt>
                <c:pt idx="8">
                  <c:v>2023-10</c:v>
                </c:pt>
                <c:pt idx="9">
                  <c:v>2023-11</c:v>
                </c:pt>
                <c:pt idx="10">
                  <c:v>2023-12</c:v>
                </c:pt>
                <c:pt idx="11">
                  <c:v>2024-01</c:v>
                </c:pt>
                <c:pt idx="12">
                  <c:v>2024-03</c:v>
                </c:pt>
                <c:pt idx="13">
                  <c:v>2024-04</c:v>
                </c:pt>
                <c:pt idx="14">
                  <c:v>2024-05</c:v>
                </c:pt>
                <c:pt idx="15">
                  <c:v>2024-06</c:v>
                </c:pt>
                <c:pt idx="16">
                  <c:v>2024-07</c:v>
                </c:pt>
                <c:pt idx="17">
                  <c:v>2024-08</c:v>
                </c:pt>
                <c:pt idx="18">
                  <c:v>2024-09</c:v>
                </c:pt>
                <c:pt idx="19">
                  <c:v>2024-10</c:v>
                </c:pt>
                <c:pt idx="20">
                  <c:v>2024-11</c:v>
                </c:pt>
                <c:pt idx="21">
                  <c:v>2024-12</c:v>
                </c:pt>
                <c:pt idx="22">
                  <c:v>2025-01</c:v>
                </c:pt>
                <c:pt idx="23">
                  <c:v>2025-03</c:v>
                </c:pt>
                <c:pt idx="24">
                  <c:v>2025-04</c:v>
                </c:pt>
                <c:pt idx="25">
                  <c:v>2025-05</c:v>
                </c:pt>
                <c:pt idx="26">
                  <c:v>2025-06</c:v>
                </c:pt>
                <c:pt idx="27">
                  <c:v>2025-07</c:v>
                </c:pt>
                <c:pt idx="28">
                  <c:v>2025-08</c:v>
                </c:pt>
                <c:pt idx="29">
                  <c:v>2025-09</c:v>
                </c:pt>
                <c:pt idx="30">
                  <c:v>2025-10</c:v>
                </c:pt>
                <c:pt idx="31">
                  <c:v>2025-11</c:v>
                </c:pt>
                <c:pt idx="32">
                  <c:v>2025-12</c:v>
                </c:pt>
                <c:pt idx="33">
                  <c:v>2026-01</c:v>
                </c:pt>
              </c:strCache>
            </c:strRef>
          </c:cat>
          <c:val>
            <c:numRef>
              <c:f>Calculation!$I$3:$I$37</c:f>
              <c:numCache>
                <c:formatCode>General</c:formatCode>
                <c:ptCount val="34"/>
                <c:pt idx="0">
                  <c:v>445.5</c:v>
                </c:pt>
                <c:pt idx="1">
                  <c:v>460.29</c:v>
                </c:pt>
                <c:pt idx="2">
                  <c:v>459.97</c:v>
                </c:pt>
                <c:pt idx="3">
                  <c:v>460.3</c:v>
                </c:pt>
                <c:pt idx="4">
                  <c:v>460.5</c:v>
                </c:pt>
                <c:pt idx="5">
                  <c:v>756.5</c:v>
                </c:pt>
                <c:pt idx="6">
                  <c:v>740.5</c:v>
                </c:pt>
                <c:pt idx="7">
                  <c:v>738.04</c:v>
                </c:pt>
                <c:pt idx="8">
                  <c:v>747.1</c:v>
                </c:pt>
                <c:pt idx="9">
                  <c:v>786.5</c:v>
                </c:pt>
                <c:pt idx="10">
                  <c:v>788.5</c:v>
                </c:pt>
                <c:pt idx="11">
                  <c:v>849.5</c:v>
                </c:pt>
                <c:pt idx="12">
                  <c:v>1275.5</c:v>
                </c:pt>
                <c:pt idx="13">
                  <c:v>1002</c:v>
                </c:pt>
                <c:pt idx="14">
                  <c:v>1197.05</c:v>
                </c:pt>
                <c:pt idx="15">
                  <c:v>1433.4</c:v>
                </c:pt>
                <c:pt idx="16">
                  <c:v>1305</c:v>
                </c:pt>
                <c:pt idx="17">
                  <c:v>1510</c:v>
                </c:pt>
                <c:pt idx="18">
                  <c:v>1497.5</c:v>
                </c:pt>
                <c:pt idx="19">
                  <c:v>1590.69</c:v>
                </c:pt>
                <c:pt idx="20">
                  <c:v>1620</c:v>
                </c:pt>
                <c:pt idx="21">
                  <c:v>1485</c:v>
                </c:pt>
                <c:pt idx="22">
                  <c:v>1442.5</c:v>
                </c:pt>
                <c:pt idx="23">
                  <c:v>1491.67</c:v>
                </c:pt>
                <c:pt idx="24">
                  <c:v>1526.5</c:v>
                </c:pt>
                <c:pt idx="25">
                  <c:v>1579.865</c:v>
                </c:pt>
                <c:pt idx="26">
                  <c:v>1528.675</c:v>
                </c:pt>
                <c:pt idx="27">
                  <c:v>1523</c:v>
                </c:pt>
                <c:pt idx="28">
                  <c:v>1509</c:v>
                </c:pt>
                <c:pt idx="29">
                  <c:v>1475</c:v>
                </c:pt>
                <c:pt idx="30">
                  <c:v>1429.15</c:v>
                </c:pt>
                <c:pt idx="31">
                  <c:v>1425.1</c:v>
                </c:pt>
                <c:pt idx="32">
                  <c:v>1439.82</c:v>
                </c:pt>
                <c:pt idx="33">
                  <c:v>1375.645</c:v>
                </c:pt>
              </c:numCache>
            </c:numRef>
          </c:val>
          <c:smooth val="0"/>
          <c:extLst>
            <c:ext xmlns:c16="http://schemas.microsoft.com/office/drawing/2014/chart" uri="{C3380CC4-5D6E-409C-BE32-E72D297353CC}">
              <c16:uniqueId val="{00000001-04A4-4067-A00A-048355167BE4}"/>
            </c:ext>
          </c:extLst>
        </c:ser>
        <c:dLbls>
          <c:showLegendKey val="0"/>
          <c:showVal val="0"/>
          <c:showCatName val="0"/>
          <c:showSerName val="0"/>
          <c:showPercent val="0"/>
          <c:showBubbleSize val="0"/>
        </c:dLbls>
        <c:smooth val="0"/>
        <c:axId val="897189695"/>
        <c:axId val="897191775"/>
      </c:lineChart>
      <c:catAx>
        <c:axId val="897189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91775"/>
        <c:crosses val="autoZero"/>
        <c:auto val="1"/>
        <c:lblAlgn val="ctr"/>
        <c:lblOffset val="100"/>
        <c:noMultiLvlLbl val="0"/>
      </c:catAx>
      <c:valAx>
        <c:axId val="8971917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89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[Treasury Dashboard.xlsx]Calculation!PivotTable10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TREND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Calculation!$C$12</c:f>
              <c:strCache>
                <c:ptCount val="1"/>
                <c:pt idx="0">
                  <c:v>StdDevp of Rolling 7-Day Avg</c:v>
                </c:pt>
              </c:strCache>
            </c:strRef>
          </c:tx>
          <c:spPr>
            <a:solidFill>
              <a:schemeClr val="accent1"/>
            </a:solidFill>
            <a:ln>
              <a:noFill/>
            </a:ln>
            <a:effectLst/>
          </c:spPr>
          <c:invertIfNegative val="0"/>
          <c:cat>
            <c:strRef>
              <c:f>Calculation!$B$13:$B$17</c:f>
              <c:strCache>
                <c:ptCount val="4"/>
                <c:pt idx="0">
                  <c:v>2023</c:v>
                </c:pt>
                <c:pt idx="1">
                  <c:v>2024</c:v>
                </c:pt>
                <c:pt idx="2">
                  <c:v>2025</c:v>
                </c:pt>
                <c:pt idx="3">
                  <c:v>2026</c:v>
                </c:pt>
              </c:strCache>
            </c:strRef>
          </c:cat>
          <c:val>
            <c:numRef>
              <c:f>Calculation!$C$13:$C$17</c:f>
              <c:numCache>
                <c:formatCode>General</c:formatCode>
                <c:ptCount val="4"/>
                <c:pt idx="0">
                  <c:v>#N/A</c:v>
                </c:pt>
                <c:pt idx="1">
                  <c:v>221.2714778405911</c:v>
                </c:pt>
                <c:pt idx="2">
                  <c:v>48.814845315989103</c:v>
                </c:pt>
                <c:pt idx="3">
                  <c:v>11.682631563171409</c:v>
                </c:pt>
              </c:numCache>
            </c:numRef>
          </c:val>
          <c:extLst>
            <c:ext xmlns:c16="http://schemas.microsoft.com/office/drawing/2014/chart" uri="{C3380CC4-5D6E-409C-BE32-E72D297353CC}">
              <c16:uniqueId val="{00000000-7455-4D25-9BBC-BEAD29E1DE01}"/>
            </c:ext>
          </c:extLst>
        </c:ser>
        <c:ser>
          <c:idx val="1"/>
          <c:order val="1"/>
          <c:tx>
            <c:strRef>
              <c:f>Calculation!$D$12</c:f>
              <c:strCache>
                <c:ptCount val="1"/>
                <c:pt idx="0">
                  <c:v>Average of High</c:v>
                </c:pt>
              </c:strCache>
            </c:strRef>
          </c:tx>
          <c:spPr>
            <a:solidFill>
              <a:schemeClr val="accent2"/>
            </a:solidFill>
            <a:ln>
              <a:noFill/>
            </a:ln>
            <a:effectLst/>
          </c:spPr>
          <c:invertIfNegative val="0"/>
          <c:cat>
            <c:strRef>
              <c:f>Calculation!$B$13:$B$17</c:f>
              <c:strCache>
                <c:ptCount val="4"/>
                <c:pt idx="0">
                  <c:v>2023</c:v>
                </c:pt>
                <c:pt idx="1">
                  <c:v>2024</c:v>
                </c:pt>
                <c:pt idx="2">
                  <c:v>2025</c:v>
                </c:pt>
                <c:pt idx="3">
                  <c:v>2026</c:v>
                </c:pt>
              </c:strCache>
            </c:strRef>
          </c:cat>
          <c:val>
            <c:numRef>
              <c:f>Calculation!$D$13:$D$17</c:f>
              <c:numCache>
                <c:formatCode>General</c:formatCode>
                <c:ptCount val="4"/>
                <c:pt idx="0">
                  <c:v>657.28662499999996</c:v>
                </c:pt>
                <c:pt idx="1">
                  <c:v>1509.4419917012444</c:v>
                </c:pt>
                <c:pt idx="2">
                  <c:v>1529.5606639004147</c:v>
                </c:pt>
                <c:pt idx="3">
                  <c:v>1424.9949999999997</c:v>
                </c:pt>
              </c:numCache>
            </c:numRef>
          </c:val>
          <c:extLst>
            <c:ext xmlns:c16="http://schemas.microsoft.com/office/drawing/2014/chart" uri="{C3380CC4-5D6E-409C-BE32-E72D297353CC}">
              <c16:uniqueId val="{00000001-7455-4D25-9BBC-BEAD29E1DE01}"/>
            </c:ext>
          </c:extLst>
        </c:ser>
        <c:ser>
          <c:idx val="2"/>
          <c:order val="2"/>
          <c:tx>
            <c:strRef>
              <c:f>Calculation!$E$12</c:f>
              <c:strCache>
                <c:ptCount val="1"/>
                <c:pt idx="0">
                  <c:v>Average of Low</c:v>
                </c:pt>
              </c:strCache>
            </c:strRef>
          </c:tx>
          <c:spPr>
            <a:solidFill>
              <a:schemeClr val="accent3"/>
            </a:solidFill>
            <a:ln>
              <a:noFill/>
            </a:ln>
            <a:effectLst/>
          </c:spPr>
          <c:invertIfNegative val="0"/>
          <c:cat>
            <c:strRef>
              <c:f>Calculation!$B$13:$B$17</c:f>
              <c:strCache>
                <c:ptCount val="4"/>
                <c:pt idx="0">
                  <c:v>2023</c:v>
                </c:pt>
                <c:pt idx="1">
                  <c:v>2024</c:v>
                </c:pt>
                <c:pt idx="2">
                  <c:v>2025</c:v>
                </c:pt>
                <c:pt idx="3">
                  <c:v>2026</c:v>
                </c:pt>
              </c:strCache>
            </c:strRef>
          </c:cat>
          <c:val>
            <c:numRef>
              <c:f>Calculation!$E$13:$E$17</c:f>
              <c:numCache>
                <c:formatCode>General</c:formatCode>
                <c:ptCount val="4"/>
                <c:pt idx="0">
                  <c:v>646.22766666666655</c:v>
                </c:pt>
                <c:pt idx="1">
                  <c:v>1439.9419917012449</c:v>
                </c:pt>
                <c:pt idx="2">
                  <c:v>1514.1669917012459</c:v>
                </c:pt>
                <c:pt idx="3">
                  <c:v>1414.2013636363636</c:v>
                </c:pt>
              </c:numCache>
            </c:numRef>
          </c:val>
          <c:extLst>
            <c:ext xmlns:c16="http://schemas.microsoft.com/office/drawing/2014/chart" uri="{C3380CC4-5D6E-409C-BE32-E72D297353CC}">
              <c16:uniqueId val="{00000002-7455-4D25-9BBC-BEAD29E1DE01}"/>
            </c:ext>
          </c:extLst>
        </c:ser>
        <c:dLbls>
          <c:showLegendKey val="0"/>
          <c:showVal val="0"/>
          <c:showCatName val="0"/>
          <c:showSerName val="0"/>
          <c:showPercent val="0"/>
          <c:showBubbleSize val="0"/>
        </c:dLbls>
        <c:gapWidth val="219"/>
        <c:overlap val="-27"/>
        <c:axId val="1094838864"/>
        <c:axId val="1094845520"/>
      </c:barChart>
      <c:catAx>
        <c:axId val="109483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845520"/>
        <c:crosses val="autoZero"/>
        <c:auto val="1"/>
        <c:lblAlgn val="ctr"/>
        <c:lblOffset val="100"/>
        <c:noMultiLvlLbl val="0"/>
      </c:catAx>
      <c:valAx>
        <c:axId val="109484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838864"/>
        <c:crosses val="autoZero"/>
        <c:crossBetween val="between"/>
      </c:valAx>
      <c:spPr>
        <a:noFill/>
        <a:ln>
          <a:noFill/>
        </a:ln>
        <a:effectLst/>
      </c:spPr>
    </c:plotArea>
    <c:legend>
      <c:legendPos val="r"/>
      <c:layout>
        <c:manualLayout>
          <c:xMode val="edge"/>
          <c:yMode val="edge"/>
          <c:x val="0.6456314472318867"/>
          <c:y val="0.30215332458442695"/>
          <c:w val="0.32723676982237687"/>
          <c:h val="0.4526862787984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206741</xdr:colOff>
      <xdr:row>33</xdr:row>
      <xdr:rowOff>171450</xdr:rowOff>
    </xdr:to>
    <xdr:sp macro="" textlink="">
      <xdr:nvSpPr>
        <xdr:cNvPr id="4" name="Rounded Rectangle 3"/>
        <xdr:cNvSpPr/>
      </xdr:nvSpPr>
      <xdr:spPr>
        <a:xfrm>
          <a:off x="0" y="0"/>
          <a:ext cx="13897341" cy="6248400"/>
        </a:xfrm>
        <a:prstGeom prst="roundRect">
          <a:avLst>
            <a:gd name="adj" fmla="val 0"/>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7</xdr:col>
      <xdr:colOff>292989</xdr:colOff>
      <xdr:row>0</xdr:row>
      <xdr:rowOff>50800</xdr:rowOff>
    </xdr:from>
    <xdr:to>
      <xdr:col>9</xdr:col>
      <xdr:colOff>323850</xdr:colOff>
      <xdr:row>6</xdr:row>
      <xdr:rowOff>0</xdr:rowOff>
    </xdr:to>
    <xdr:sp macro="" textlink="">
      <xdr:nvSpPr>
        <xdr:cNvPr id="6" name="Rounded Rectangle 5"/>
        <xdr:cNvSpPr/>
      </xdr:nvSpPr>
      <xdr:spPr>
        <a:xfrm rot="10800000" flipH="1" flipV="1">
          <a:off x="4649089" y="50800"/>
          <a:ext cx="1275461" cy="1054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t>
          </a:r>
          <a:r>
            <a:rPr lang="en-US" sz="1100" b="1" baseline="0"/>
            <a:t> CHANGE</a:t>
          </a:r>
          <a:endParaRPr lang="en-US" sz="1100" b="1"/>
        </a:p>
      </xdr:txBody>
    </xdr:sp>
    <xdr:clientData/>
  </xdr:twoCellAnchor>
  <xdr:twoCellAnchor>
    <xdr:from>
      <xdr:col>5</xdr:col>
      <xdr:colOff>242181</xdr:colOff>
      <xdr:row>0</xdr:row>
      <xdr:rowOff>50800</xdr:rowOff>
    </xdr:from>
    <xdr:to>
      <xdr:col>7</xdr:col>
      <xdr:colOff>266699</xdr:colOff>
      <xdr:row>6</xdr:row>
      <xdr:rowOff>0</xdr:rowOff>
    </xdr:to>
    <xdr:sp macro="" textlink="">
      <xdr:nvSpPr>
        <xdr:cNvPr id="7" name="Rounded Rectangle 6"/>
        <xdr:cNvSpPr/>
      </xdr:nvSpPr>
      <xdr:spPr>
        <a:xfrm flipH="1">
          <a:off x="3353681" y="50800"/>
          <a:ext cx="1269118" cy="1054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DAILY CHANGE</a:t>
          </a:r>
        </a:p>
      </xdr:txBody>
    </xdr:sp>
    <xdr:clientData/>
  </xdr:twoCellAnchor>
  <xdr:twoCellAnchor>
    <xdr:from>
      <xdr:col>3</xdr:col>
      <xdr:colOff>185038</xdr:colOff>
      <xdr:row>0</xdr:row>
      <xdr:rowOff>50800</xdr:rowOff>
    </xdr:from>
    <xdr:to>
      <xdr:col>5</xdr:col>
      <xdr:colOff>209550</xdr:colOff>
      <xdr:row>6</xdr:row>
      <xdr:rowOff>12700</xdr:rowOff>
    </xdr:to>
    <xdr:sp macro="" textlink="">
      <xdr:nvSpPr>
        <xdr:cNvPr id="8" name="Rounded Rectangle 7"/>
        <xdr:cNvSpPr/>
      </xdr:nvSpPr>
      <xdr:spPr>
        <a:xfrm rot="10800000" flipH="1" flipV="1">
          <a:off x="2051938" y="50800"/>
          <a:ext cx="1269112" cy="1066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CURRENT RATE</a:t>
          </a:r>
        </a:p>
      </xdr:txBody>
    </xdr:sp>
    <xdr:clientData/>
  </xdr:twoCellAnchor>
  <xdr:twoCellAnchor>
    <xdr:from>
      <xdr:col>9</xdr:col>
      <xdr:colOff>361950</xdr:colOff>
      <xdr:row>0</xdr:row>
      <xdr:rowOff>38100</xdr:rowOff>
    </xdr:from>
    <xdr:to>
      <xdr:col>11</xdr:col>
      <xdr:colOff>450850</xdr:colOff>
      <xdr:row>5</xdr:row>
      <xdr:rowOff>177800</xdr:rowOff>
    </xdr:to>
    <xdr:sp macro="" textlink="">
      <xdr:nvSpPr>
        <xdr:cNvPr id="9" name="Rounded Rectangle 8"/>
        <xdr:cNvSpPr/>
      </xdr:nvSpPr>
      <xdr:spPr>
        <a:xfrm rot="10800000" flipH="1" flipV="1">
          <a:off x="5962650" y="38100"/>
          <a:ext cx="1333500" cy="1060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AVERAGE RATE</a:t>
          </a:r>
        </a:p>
      </xdr:txBody>
    </xdr:sp>
    <xdr:clientData/>
  </xdr:twoCellAnchor>
  <xdr:twoCellAnchor>
    <xdr:from>
      <xdr:col>11</xdr:col>
      <xdr:colOff>482600</xdr:colOff>
      <xdr:row>0</xdr:row>
      <xdr:rowOff>25400</xdr:rowOff>
    </xdr:from>
    <xdr:to>
      <xdr:col>13</xdr:col>
      <xdr:colOff>603250</xdr:colOff>
      <xdr:row>6</xdr:row>
      <xdr:rowOff>0</xdr:rowOff>
    </xdr:to>
    <xdr:sp macro="" textlink="">
      <xdr:nvSpPr>
        <xdr:cNvPr id="10" name="Rounded Rectangle 9"/>
        <xdr:cNvSpPr/>
      </xdr:nvSpPr>
      <xdr:spPr>
        <a:xfrm rot="10800000" flipH="1" flipV="1">
          <a:off x="7327900" y="25400"/>
          <a:ext cx="1365250" cy="1079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MAX RATE</a:t>
          </a:r>
        </a:p>
      </xdr:txBody>
    </xdr:sp>
    <xdr:clientData/>
  </xdr:twoCellAnchor>
  <xdr:twoCellAnchor>
    <xdr:from>
      <xdr:col>0</xdr:col>
      <xdr:colOff>50800</xdr:colOff>
      <xdr:row>0</xdr:row>
      <xdr:rowOff>44450</xdr:rowOff>
    </xdr:from>
    <xdr:to>
      <xdr:col>3</xdr:col>
      <xdr:colOff>133350</xdr:colOff>
      <xdr:row>6</xdr:row>
      <xdr:rowOff>31750</xdr:rowOff>
    </xdr:to>
    <xdr:sp macro="" textlink="">
      <xdr:nvSpPr>
        <xdr:cNvPr id="12" name="Rounded Rectangle 11"/>
        <xdr:cNvSpPr/>
      </xdr:nvSpPr>
      <xdr:spPr>
        <a:xfrm>
          <a:off x="50800" y="44450"/>
          <a:ext cx="1949450" cy="10922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rgbClr val="002060"/>
              </a:solidFill>
              <a:latin typeface="Arial Black" panose="020B0A04020102020204" pitchFamily="34" charset="0"/>
            </a:rPr>
            <a:t>INTEREST</a:t>
          </a:r>
          <a:r>
            <a:rPr lang="en-US" sz="1600" baseline="0">
              <a:solidFill>
                <a:srgbClr val="002060"/>
              </a:solidFill>
              <a:latin typeface="Arial Black" panose="020B0A04020102020204" pitchFamily="34" charset="0"/>
            </a:rPr>
            <a:t> RATE</a:t>
          </a:r>
          <a:endParaRPr lang="en-US" sz="1600">
            <a:solidFill>
              <a:srgbClr val="002060"/>
            </a:solidFill>
            <a:latin typeface="Arial Black" panose="020B0A04020102020204" pitchFamily="34" charset="0"/>
          </a:endParaRPr>
        </a:p>
        <a:p>
          <a:pPr algn="ctr"/>
          <a:r>
            <a:rPr lang="en-US" sz="1600">
              <a:solidFill>
                <a:srgbClr val="002060"/>
              </a:solidFill>
              <a:latin typeface="Arial Black" panose="020B0A04020102020204" pitchFamily="34" charset="0"/>
            </a:rPr>
            <a:t> DASHBOARD</a:t>
          </a:r>
        </a:p>
      </xdr:txBody>
    </xdr:sp>
    <xdr:clientData/>
  </xdr:twoCellAnchor>
  <xdr:oneCellAnchor>
    <xdr:from>
      <xdr:col>3</xdr:col>
      <xdr:colOff>552450</xdr:colOff>
      <xdr:row>2</xdr:row>
      <xdr:rowOff>88900</xdr:rowOff>
    </xdr:from>
    <xdr:ext cx="248231" cy="264560"/>
    <xdr:sp macro="" textlink="">
      <xdr:nvSpPr>
        <xdr:cNvPr id="15" name="TextBox 14"/>
        <xdr:cNvSpPr txBox="1"/>
      </xdr:nvSpPr>
      <xdr:spPr>
        <a:xfrm>
          <a:off x="2419350" y="457200"/>
          <a:ext cx="2482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 </a:t>
          </a:r>
        </a:p>
      </xdr:txBody>
    </xdr:sp>
    <xdr:clientData/>
  </xdr:oneCellAnchor>
  <xdr:oneCellAnchor>
    <xdr:from>
      <xdr:col>12</xdr:col>
      <xdr:colOff>64389</xdr:colOff>
      <xdr:row>2</xdr:row>
      <xdr:rowOff>139700</xdr:rowOff>
    </xdr:from>
    <xdr:ext cx="958850" cy="387350"/>
    <xdr:sp macro="" textlink="Calculation!B27">
      <xdr:nvSpPr>
        <xdr:cNvPr id="18" name="TextBox 17"/>
        <xdr:cNvSpPr txBox="1"/>
      </xdr:nvSpPr>
      <xdr:spPr>
        <a:xfrm rot="10800000" flipV="1">
          <a:off x="7531989" y="508000"/>
          <a:ext cx="958850" cy="387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BDD90E97-E9BB-4911-944F-FB674FB19A19}" type="TxLink">
            <a:rPr lang="en-US" sz="2000" b="1" i="0" u="none" strike="noStrike">
              <a:solidFill>
                <a:srgbClr val="000000"/>
              </a:solidFill>
              <a:latin typeface="Calibri"/>
              <a:ea typeface="+mn-ea"/>
              <a:cs typeface="Calibri"/>
            </a:rPr>
            <a:pPr marL="0" indent="0" algn="ctr"/>
            <a:t>1681.39</a:t>
          </a:fld>
          <a:endParaRPr lang="en-US" sz="2000" b="1" i="0" u="none" strike="noStrike">
            <a:solidFill>
              <a:srgbClr val="000000"/>
            </a:solidFill>
            <a:latin typeface="Calibri"/>
            <a:ea typeface="+mn-ea"/>
            <a:cs typeface="Calibri"/>
          </a:endParaRPr>
        </a:p>
      </xdr:txBody>
    </xdr:sp>
    <xdr:clientData/>
  </xdr:oneCellAnchor>
  <xdr:oneCellAnchor>
    <xdr:from>
      <xdr:col>7</xdr:col>
      <xdr:colOff>464439</xdr:colOff>
      <xdr:row>2</xdr:row>
      <xdr:rowOff>139700</xdr:rowOff>
    </xdr:from>
    <xdr:ext cx="958850" cy="387350"/>
    <xdr:sp macro="" textlink="Calculation!B5">
      <xdr:nvSpPr>
        <xdr:cNvPr id="19" name="TextBox 18"/>
        <xdr:cNvSpPr txBox="1"/>
      </xdr:nvSpPr>
      <xdr:spPr>
        <a:xfrm rot="10800000" flipV="1">
          <a:off x="4820539" y="508000"/>
          <a:ext cx="958850" cy="387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C6344557-07AD-4837-B3BA-5F58E85A458F}" type="TxLink">
            <a:rPr lang="en-US" sz="2000" b="1" i="0" u="none" strike="noStrike">
              <a:solidFill>
                <a:srgbClr val="000000"/>
              </a:solidFill>
              <a:latin typeface="Calibri"/>
              <a:ea typeface="+mn-ea"/>
              <a:cs typeface="Calibri"/>
            </a:rPr>
            <a:pPr marL="0" indent="0" algn="ctr"/>
            <a:t>0.07%</a:t>
          </a:fld>
          <a:endParaRPr lang="en-US" sz="2000" b="1" i="0" u="none" strike="noStrike">
            <a:solidFill>
              <a:srgbClr val="000000"/>
            </a:solidFill>
            <a:latin typeface="Calibri"/>
            <a:ea typeface="+mn-ea"/>
            <a:cs typeface="Calibri"/>
          </a:endParaRPr>
        </a:p>
      </xdr:txBody>
    </xdr:sp>
    <xdr:clientData/>
  </xdr:oneCellAnchor>
  <xdr:oneCellAnchor>
    <xdr:from>
      <xdr:col>5</xdr:col>
      <xdr:colOff>546986</xdr:colOff>
      <xdr:row>2</xdr:row>
      <xdr:rowOff>158750</xdr:rowOff>
    </xdr:from>
    <xdr:ext cx="958850" cy="368300"/>
    <xdr:sp macro="" textlink="Calculation!B4">
      <xdr:nvSpPr>
        <xdr:cNvPr id="20" name="TextBox 19"/>
        <xdr:cNvSpPr txBox="1"/>
      </xdr:nvSpPr>
      <xdr:spPr>
        <a:xfrm rot="10800000" flipV="1">
          <a:off x="3658486" y="527050"/>
          <a:ext cx="958850" cy="3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046E933-AA08-4C72-B11C-DBDC0060AFEA}" type="TxLink">
            <a:rPr lang="en-US" sz="2000" b="1" i="0" u="none" strike="noStrike">
              <a:solidFill>
                <a:srgbClr val="000000"/>
              </a:solidFill>
              <a:latin typeface="Calibri"/>
              <a:cs typeface="Calibri"/>
            </a:rPr>
            <a:pPr/>
            <a:t>0.95</a:t>
          </a:fld>
          <a:endParaRPr lang="en-US" sz="2000" b="1" i="0" u="none" strike="noStrike">
            <a:solidFill>
              <a:srgbClr val="000000"/>
            </a:solidFill>
            <a:latin typeface="Calibri"/>
            <a:cs typeface="Calibri"/>
          </a:endParaRPr>
        </a:p>
      </xdr:txBody>
    </xdr:sp>
    <xdr:clientData/>
  </xdr:oneCellAnchor>
  <xdr:oneCellAnchor>
    <xdr:from>
      <xdr:col>3</xdr:col>
      <xdr:colOff>279400</xdr:colOff>
      <xdr:row>3</xdr:row>
      <xdr:rowOff>44450</xdr:rowOff>
    </xdr:from>
    <xdr:ext cx="1085850" cy="366160"/>
    <xdr:sp macro="" textlink="Calculation!B2">
      <xdr:nvSpPr>
        <xdr:cNvPr id="23" name="TextBox 22"/>
        <xdr:cNvSpPr txBox="1"/>
      </xdr:nvSpPr>
      <xdr:spPr>
        <a:xfrm>
          <a:off x="2146300" y="596900"/>
          <a:ext cx="1085850" cy="36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0850EF3D-CB30-40F4-8219-F8CA0A2CD77A}" type="TxLink">
            <a:rPr lang="en-US" sz="1800" b="1" i="0" u="none" strike="noStrike">
              <a:solidFill>
                <a:srgbClr val="000000"/>
              </a:solidFill>
              <a:latin typeface="Calibri"/>
              <a:cs typeface="Calibri"/>
            </a:rPr>
            <a:pPr algn="ctr"/>
            <a:t>1386.46</a:t>
          </a:fld>
          <a:endParaRPr lang="en-US" sz="1800" b="1"/>
        </a:p>
      </xdr:txBody>
    </xdr:sp>
    <xdr:clientData/>
  </xdr:oneCellAnchor>
  <xdr:twoCellAnchor>
    <xdr:from>
      <xdr:col>8</xdr:col>
      <xdr:colOff>158750</xdr:colOff>
      <xdr:row>6</xdr:row>
      <xdr:rowOff>69850</xdr:rowOff>
    </xdr:from>
    <xdr:to>
      <xdr:col>13</xdr:col>
      <xdr:colOff>590550</xdr:colOff>
      <xdr:row>19</xdr:row>
      <xdr:rowOff>76200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444500</xdr:colOff>
      <xdr:row>19</xdr:row>
      <xdr:rowOff>101600</xdr:rowOff>
    </xdr:from>
    <xdr:to>
      <xdr:col>8</xdr:col>
      <xdr:colOff>114300</xdr:colOff>
      <xdr:row>33</xdr:row>
      <xdr:rowOff>152400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19</xdr:row>
      <xdr:rowOff>114300</xdr:rowOff>
    </xdr:from>
    <xdr:to>
      <xdr:col>13</xdr:col>
      <xdr:colOff>603250</xdr:colOff>
      <xdr:row>33</xdr:row>
      <xdr:rowOff>152400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44450</xdr:colOff>
      <xdr:row>13</xdr:row>
      <xdr:rowOff>6350</xdr:rowOff>
    </xdr:from>
    <xdr:to>
      <xdr:col>2</xdr:col>
      <xdr:colOff>412750</xdr:colOff>
      <xdr:row>25</xdr:row>
      <xdr:rowOff>127000</xdr:rowOff>
    </xdr:to>
    <mc:AlternateContent xmlns:mc="http://schemas.openxmlformats.org/markup-compatibility/2006">
      <mc:Choice xmlns:a14="http://schemas.microsoft.com/office/drawing/2010/main" Requires="a14">
        <xdr:graphicFrame macro="">
          <xdr:nvGraphicFramePr>
            <xdr:cNvPr id="32"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4450" y="2400300"/>
              <a:ext cx="1612900" cy="233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25</xdr:row>
      <xdr:rowOff>146050</xdr:rowOff>
    </xdr:from>
    <xdr:to>
      <xdr:col>2</xdr:col>
      <xdr:colOff>412750</xdr:colOff>
      <xdr:row>33</xdr:row>
      <xdr:rowOff>139701</xdr:rowOff>
    </xdr:to>
    <mc:AlternateContent xmlns:mc="http://schemas.openxmlformats.org/markup-compatibility/2006" xmlns:a14="http://schemas.microsoft.com/office/drawing/2010/main">
      <mc:Choice Requires="a14">
        <xdr:graphicFrame macro="">
          <xdr:nvGraphicFramePr>
            <xdr:cNvPr id="21"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800" y="4749800"/>
              <a:ext cx="1606550" cy="1466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44448</xdr:colOff>
      <xdr:row>6</xdr:row>
      <xdr:rowOff>95250</xdr:rowOff>
    </xdr:from>
    <xdr:to>
      <xdr:col>2</xdr:col>
      <xdr:colOff>412750</xdr:colOff>
      <xdr:row>12</xdr:row>
      <xdr:rowOff>152400</xdr:rowOff>
    </xdr:to>
    <xdr:sp macro="" textlink="">
      <xdr:nvSpPr>
        <xdr:cNvPr id="24" name="Rounded Rectangle 23"/>
        <xdr:cNvSpPr/>
      </xdr:nvSpPr>
      <xdr:spPr>
        <a:xfrm flipH="1">
          <a:off x="44448" y="1200150"/>
          <a:ext cx="1612902" cy="1162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MIN</a:t>
          </a:r>
          <a:r>
            <a:rPr lang="en-US" sz="1600" b="1" baseline="0"/>
            <a:t> RATE</a:t>
          </a:r>
          <a:endParaRPr lang="en-US" sz="1600" b="1"/>
        </a:p>
      </xdr:txBody>
    </xdr:sp>
    <xdr:clientData/>
  </xdr:twoCellAnchor>
  <xdr:oneCellAnchor>
    <xdr:from>
      <xdr:col>1</xdr:col>
      <xdr:colOff>131933</xdr:colOff>
      <xdr:row>8</xdr:row>
      <xdr:rowOff>177800</xdr:rowOff>
    </xdr:from>
    <xdr:ext cx="184731" cy="468013"/>
    <xdr:sp macro="" textlink="">
      <xdr:nvSpPr>
        <xdr:cNvPr id="2" name="TextBox 1"/>
        <xdr:cNvSpPr txBox="1"/>
      </xdr:nvSpPr>
      <xdr:spPr>
        <a:xfrm>
          <a:off x="754233" y="1651000"/>
          <a:ext cx="1847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2400" b="1"/>
        </a:p>
      </xdr:txBody>
    </xdr:sp>
    <xdr:clientData/>
  </xdr:oneCellAnchor>
  <xdr:twoCellAnchor>
    <xdr:from>
      <xdr:col>2</xdr:col>
      <xdr:colOff>444500</xdr:colOff>
      <xdr:row>6</xdr:row>
      <xdr:rowOff>76200</xdr:rowOff>
    </xdr:from>
    <xdr:to>
      <xdr:col>8</xdr:col>
      <xdr:colOff>120650</xdr:colOff>
      <xdr:row>19</xdr:row>
      <xdr:rowOff>57150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9</xdr:col>
      <xdr:colOff>508000</xdr:colOff>
      <xdr:row>2</xdr:row>
      <xdr:rowOff>139701</xdr:rowOff>
    </xdr:from>
    <xdr:ext cx="1054100" cy="463550"/>
    <xdr:sp macro="" textlink="Calculation!E31">
      <xdr:nvSpPr>
        <xdr:cNvPr id="3" name="TextBox 2"/>
        <xdr:cNvSpPr txBox="1"/>
      </xdr:nvSpPr>
      <xdr:spPr>
        <a:xfrm>
          <a:off x="6108700" y="508001"/>
          <a:ext cx="1054100" cy="463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FB0F45F-364C-4580-9E14-B41F7D8C570C}" type="TxLink">
            <a:rPr lang="en-US" sz="1800" b="1" i="0" u="none" strike="noStrike">
              <a:solidFill>
                <a:srgbClr val="000000"/>
              </a:solidFill>
              <a:latin typeface="Calibri"/>
              <a:cs typeface="Calibri"/>
            </a:rPr>
            <a:pPr algn="ctr"/>
            <a:t>1222.83</a:t>
          </a:fld>
          <a:endParaRPr lang="en-US" sz="1800" b="1"/>
        </a:p>
      </xdr:txBody>
    </xdr:sp>
    <xdr:clientData/>
  </xdr:oneCellAnchor>
  <xdr:oneCellAnchor>
    <xdr:from>
      <xdr:col>0</xdr:col>
      <xdr:colOff>406400</xdr:colOff>
      <xdr:row>9</xdr:row>
      <xdr:rowOff>44450</xdr:rowOff>
    </xdr:from>
    <xdr:ext cx="806322" cy="505860"/>
    <xdr:sp macro="" textlink="Calculation!E33">
      <xdr:nvSpPr>
        <xdr:cNvPr id="5" name="TextBox 4"/>
        <xdr:cNvSpPr txBox="1"/>
      </xdr:nvSpPr>
      <xdr:spPr>
        <a:xfrm>
          <a:off x="406400" y="1701800"/>
          <a:ext cx="806322" cy="505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59238160-F026-4A28-B3D7-EB19E995BF27}" type="TxLink">
            <a:rPr lang="en-US" sz="2000" b="1" i="0" u="none" strike="noStrike">
              <a:solidFill>
                <a:srgbClr val="000000"/>
              </a:solidFill>
              <a:latin typeface="Calibri"/>
              <a:cs typeface="Calibri"/>
            </a:rPr>
            <a:pPr algn="ctr"/>
            <a:t>447.58</a:t>
          </a:fld>
          <a:endParaRPr lang="en-US" sz="20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12.132384722223" createdVersion="6" refreshedVersion="6" minRefreshableVersion="3" recordCount="805">
  <cacheSource type="worksheet">
    <worksheetSource name="USD_NGN_Historical_Data__17"/>
  </cacheSource>
  <cacheFields count="15">
    <cacheField name="Date" numFmtId="165">
      <sharedItems containsSemiMixedTypes="0" containsNonDate="0" containsDate="1" containsString="0" minDate="2023-01-02T00:00:00" maxDate="2026-01-31T00:00:00" count="805">
        <d v="2023-01-02T00:00:00"/>
        <d v="2023-01-03T00:00:00"/>
        <d v="2023-01-04T00:00:00"/>
        <d v="2023-01-05T00:00:00"/>
        <d v="2023-01-06T00:00:00"/>
        <d v="2023-01-09T00:00:00"/>
        <d v="2023-01-10T00:00:00"/>
        <d v="2023-01-11T00:00:00"/>
        <d v="2023-01-12T00:00:00"/>
        <d v="2023-01-13T00:00:00"/>
        <d v="2023-01-16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0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07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29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19T00:00:00"/>
        <d v="2023-06-20T00:00:00"/>
        <d v="2023-06-21T00:00:00"/>
        <d v="2023-06-22T00:00:00"/>
        <d v="2023-06-23T00:00:00"/>
        <d v="2023-06-26T00:00:00"/>
        <d v="2023-06-27T00:00:00"/>
        <d v="2023-06-28T00:00:00"/>
        <d v="2023-06-29T00:00:00"/>
        <d v="2023-06-30T00:00:00"/>
        <d v="2023-07-03T00:00:00"/>
        <d v="2023-07-04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4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3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5T00:00:00"/>
        <d v="2023-12-26T00:00:00"/>
        <d v="2023-12-27T00:00:00"/>
        <d v="2023-12-28T00:00:00"/>
        <d v="2023-12-29T00:00:00"/>
        <d v="2024-01-01T00:00:00"/>
        <d v="2024-01-02T00:00:00"/>
        <d v="2024-01-03T00:00:00"/>
        <d v="2024-01-04T00:00:00"/>
        <d v="2024-01-05T00:00:00"/>
        <d v="2024-01-08T00:00:00"/>
        <d v="2024-01-09T00:00:00"/>
        <d v="2024-01-10T00:00:00"/>
        <d v="2024-01-11T00:00:00"/>
        <d v="2024-01-12T00:00:00"/>
        <d v="2024-01-15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19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3-29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7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19T00:00:00"/>
        <d v="2024-06-20T00:00:00"/>
        <d v="2024-06-21T00:00:00"/>
        <d v="2024-06-24T00:00:00"/>
        <d v="2024-06-25T00:00:00"/>
        <d v="2024-06-26T00:00:00"/>
        <d v="2024-06-27T00:00:00"/>
        <d v="2024-06-28T00:00:00"/>
        <d v="2024-07-01T00:00:00"/>
        <d v="2024-07-02T00:00:00"/>
        <d v="2024-07-03T00:00:00"/>
        <d v="2024-07-04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2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8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5T00:00:00"/>
        <d v="2024-12-26T00:00:00"/>
        <d v="2024-12-27T00:00:00"/>
        <d v="2024-12-30T00:00:00"/>
        <d v="2024-12-31T00:00:00"/>
        <d v="2025-01-01T00:00:00"/>
        <d v="2025-01-02T00:00:00"/>
        <d v="2025-01-03T00:00:00"/>
        <d v="2025-01-06T00:00:00"/>
        <d v="2025-01-07T00:00:00"/>
        <d v="2025-01-08T00:00:00"/>
        <d v="2025-01-09T00:00:00"/>
        <d v="2025-01-10T00:00:00"/>
        <d v="2025-01-13T00:00:00"/>
        <d v="2025-01-14T00:00:00"/>
        <d v="2025-01-15T00:00:00"/>
        <d v="2025-01-16T00:00:00"/>
        <d v="2025-01-17T00:00:00"/>
        <d v="2025-01-20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18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d v="2025-07-01T00:00:00"/>
        <d v="2025-07-02T00:00:00"/>
        <d v="2025-07-03T00:00:00"/>
        <d v="2025-07-04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1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7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5T00:00:00"/>
        <d v="2025-12-26T00:00:00"/>
        <d v="2025-12-29T00:00:00"/>
        <d v="2025-12-30T00:00:00"/>
        <d v="2025-12-31T00:00:00"/>
        <d v="2026-01-01T00:00:00"/>
        <d v="2026-01-02T00:00:00"/>
        <d v="2026-01-05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7T00:00:00"/>
        <d v="2026-01-28T00:00:00"/>
        <d v="2026-01-29T00:00:00"/>
        <d v="2026-01-30T00:00:00"/>
      </sharedItems>
      <fieldGroup par="14" base="0">
        <rangePr groupBy="months" startDate="2023-01-02T00:00:00" endDate="2026-01-31T00:00:00"/>
        <groupItems count="14">
          <s v="&lt;1/2/2023"/>
          <s v="Jan"/>
          <s v="Feb"/>
          <s v="Mar"/>
          <s v="Apr"/>
          <s v="May"/>
          <s v="Jun"/>
          <s v="Jul"/>
          <s v="Aug"/>
          <s v="Sep"/>
          <s v="Oct"/>
          <s v="Nov"/>
          <s v="Dec"/>
          <s v="&gt;1/31/2026"/>
        </groupItems>
      </fieldGroup>
    </cacheField>
    <cacheField name="Rate" numFmtId="2">
      <sharedItems containsSemiMixedTypes="0" containsString="0" containsNumber="1" minValue="447.58" maxValue="1681.39"/>
    </cacheField>
    <cacheField name="Open" numFmtId="2">
      <sharedItems containsSemiMixedTypes="0" containsString="0" containsNumber="1" minValue="448.08" maxValue="1693.36"/>
    </cacheField>
    <cacheField name="High" numFmtId="2">
      <sharedItems containsSemiMixedTypes="0" containsString="0" containsNumber="1" minValue="448.08" maxValue="1717.5"/>
    </cacheField>
    <cacheField name="Low" numFmtId="2">
      <sharedItems containsSemiMixedTypes="0" containsString="0" containsNumber="1" minValue="445.5" maxValue="1679.125"/>
    </cacheField>
    <cacheField name="Change %" numFmtId="0">
      <sharedItems containsSemiMixedTypes="0" containsString="0" containsNumber="1" minValue="-0.1268" maxValue="0.34129999999999999"/>
    </cacheField>
    <cacheField name="Year" numFmtId="2">
      <sharedItems containsSemiMixedTypes="0" containsString="0" containsNumber="1" containsInteger="1" minValue="2023" maxValue="2026" count="4">
        <n v="2023"/>
        <n v="2024"/>
        <n v="2025"/>
        <n v="2026"/>
      </sharedItems>
    </cacheField>
    <cacheField name="Month" numFmtId="2">
      <sharedItems count="12">
        <s v="Jan"/>
        <s v="Feb"/>
        <s v="Mar"/>
        <s v="Apr"/>
        <s v="May"/>
        <s v="Jun"/>
        <s v="Jul"/>
        <s v="Aug"/>
        <s v="Sep"/>
        <s v="Oct"/>
        <s v="Nov"/>
        <s v="Dec"/>
      </sharedItems>
    </cacheField>
    <cacheField name="Month_Num2" numFmtId="2">
      <sharedItems containsSemiMixedTypes="0" containsString="0" containsNumber="1" containsInteger="1" minValue="1" maxValue="12"/>
    </cacheField>
    <cacheField name="YearMonth" numFmtId="2">
      <sharedItems count="37">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2025-12"/>
        <s v="2026-01"/>
      </sharedItems>
    </cacheField>
    <cacheField name="Week" numFmtId="2">
      <sharedItems containsSemiMixedTypes="0" containsString="0" containsNumber="1" containsInteger="1" minValue="1" maxValue="53"/>
    </cacheField>
    <cacheField name="Rolling 7-Day Avg" numFmtId="2">
      <sharedItems containsMixedTypes="1" containsNumber="1" minValue="448.71166666666664" maxValue="1675.5685714285714" count="769">
        <e v="#REF!"/>
        <n v="448.71166666666664"/>
        <n v="448.83571428571429"/>
        <n v="449.33857142857141"/>
        <n v="449.84999999999997"/>
        <n v="450.36142857142858"/>
        <n v="450.80285714285719"/>
        <n v="451.30714285714288"/>
        <n v="451.81142857142856"/>
        <n v="452.31142857142856"/>
        <n v="452.80571428571426"/>
        <n v="453.22428571428566"/>
        <n v="454.2557142857143"/>
        <n v="455.30571428571432"/>
        <n v="456.26285714285717"/>
        <n v="457.21999999999997"/>
        <n v="458.19571428571425"/>
        <n v="458.97571428571428"/>
        <n v="459.7557142857143"/>
        <n v="459.86"/>
        <n v="459.94142857142862"/>
        <n v="459.85857142857139"/>
        <n v="459.87857142857143"/>
        <n v="459.88"/>
        <n v="459.87285714285707"/>
        <n v="459.72571428571428"/>
        <n v="459.72285714285715"/>
        <n v="459.84857142857135"/>
        <n v="459.86714285714288"/>
        <n v="459.88428571428574"/>
        <n v="459.89571428571429"/>
        <n v="460.03571428571428"/>
        <n v="460.02857142857152"/>
        <n v="460.01142857142861"/>
        <n v="459.9942857142857"/>
        <n v="459.97999999999996"/>
        <n v="459.96999999999997"/>
        <n v="459.95857142857142"/>
        <n v="459.95857142857159"/>
        <n v="459.95714285714286"/>
        <n v="459.96000000000004"/>
        <n v="459.96285714285716"/>
        <n v="459.96857142857141"/>
        <n v="459.97571428571433"/>
        <n v="459.98285714285714"/>
        <n v="459.98999999999995"/>
        <n v="460"/>
        <n v="460.01142857142855"/>
        <n v="460.00857142857143"/>
        <n v="460.00142857142862"/>
        <n v="459.98285714285709"/>
        <n v="459.95142857142855"/>
        <n v="459.94285714285712"/>
        <n v="459.93714285714293"/>
        <n v="459.92428571428576"/>
        <n v="459.91428571428571"/>
        <n v="459.90428571428572"/>
        <n v="459.88857142857148"/>
        <n v="459.84571428571428"/>
        <n v="459.84000000000003"/>
        <n v="459.83714285714285"/>
        <n v="459.83857142857141"/>
        <n v="459.83571428571429"/>
        <n v="459.83428571428567"/>
        <n v="459.87142857142857"/>
        <n v="459.88285714285712"/>
        <n v="459.91142857142859"/>
        <n v="459.94"/>
        <n v="459.98285714285703"/>
        <n v="459.99714285714282"/>
        <n v="460.00428571428569"/>
        <n v="460.01285714285717"/>
        <n v="460.0042857142858"/>
        <n v="459.98142857142858"/>
        <n v="459.95"/>
        <n v="459.9242857142857"/>
        <n v="459.89714285714291"/>
        <n v="459.88714285714286"/>
        <n v="459.88285714285718"/>
        <n v="459.90999999999997"/>
        <n v="459.94714285714286"/>
        <n v="459.97285714285721"/>
        <n v="460.02857142857147"/>
        <n v="460.05714285714288"/>
        <n v="460.11714285714282"/>
        <n v="460.15714285714284"/>
        <n v="460.19142857142862"/>
        <n v="460.22714285714289"/>
        <n v="460.26285714285717"/>
        <n v="460.29714285714277"/>
        <n v="460.31142857142856"/>
        <n v="460.29571428571433"/>
        <n v="460.35285714285709"/>
        <n v="460.42142857142852"/>
        <n v="460.51285714285717"/>
        <n v="460.61857142857144"/>
        <n v="460.7442857142857"/>
        <n v="460.87714285714281"/>
        <n v="461.05142857142852"/>
        <n v="461.23714285714289"/>
        <n v="461.40000000000003"/>
        <n v="461.60857142857145"/>
        <n v="484.34428571428572"/>
        <n v="507.10428571428577"/>
        <n v="534.7928571428572"/>
        <n v="566.97714285714289"/>
        <n v="599.42000000000007"/>
        <n v="639.86285714285714"/>
        <n v="680.23714285714289"/>
        <n v="700.20857142857142"/>
        <n v="717.60142857142853"/>
        <n v="733.03714285714284"/>
        <n v="742.46428571428567"/>
        <n v="751.59857142857152"/>
        <n v="753.56571428571442"/>
        <n v="757.12"/>
        <n v="758.53142857142859"/>
        <n v="762.78142857142859"/>
        <n v="764.34571428571428"/>
        <n v="766.49571428571437"/>
        <n v="771.64714285714297"/>
        <n v="774.53714285714284"/>
        <n v="775.26857142857148"/>
        <n v="776.14285714285711"/>
        <n v="776.57142857142856"/>
        <n v="776.66714285714284"/>
        <n v="779.52428571428572"/>
        <n v="778.42571428571421"/>
        <n v="779.92714285714283"/>
        <n v="779.85571428571427"/>
        <n v="782.11571428571426"/>
        <n v="784.51857142857136"/>
        <n v="786.41142857142859"/>
        <n v="784.41142857142859"/>
        <n v="783.40714285714273"/>
        <n v="779.03428571428572"/>
        <n v="776.53714285714284"/>
        <n v="774.42"/>
        <n v="772.30285714285708"/>
        <n v="769.16428571428571"/>
        <n v="765.68142857142846"/>
        <n v="763.8471428571429"/>
        <n v="765.11428571428587"/>
        <n v="766.64999999999986"/>
        <n v="765.33142857142855"/>
        <n v="763.76"/>
        <n v="762.76714285714286"/>
        <n v="767.73428571428576"/>
        <n v="768.45285714285717"/>
        <n v="765.18999999999994"/>
        <n v="761.74285714285725"/>
        <n v="760.74571428571414"/>
        <n v="759.21285714285716"/>
        <n v="758.52857142857135"/>
        <n v="756.59285714285704"/>
        <n v="757.65428571428561"/>
        <n v="761.51714285714286"/>
        <n v="765.71142857142866"/>
        <n v="767.45571428571441"/>
        <n v="767.63428571428574"/>
        <n v="767.96428571428567"/>
        <n v="766.49142857142851"/>
        <n v="763.50571428571425"/>
        <n v="765.3"/>
        <n v="767.58571428571418"/>
        <n v="762.51999999999987"/>
        <n v="764.49285714285713"/>
        <n v="763.01571428571435"/>
        <n v="766.22571428571428"/>
        <n v="768.33142857142855"/>
        <n v="764.81714285714293"/>
        <n v="762.86428571428576"/>
        <n v="767.54000000000008"/>
        <n v="767.12571428571425"/>
        <n v="770.16142857142859"/>
        <n v="769.5971428571429"/>
        <n v="771.21285714285716"/>
        <n v="773.73714285714289"/>
        <n v="774.06142857142856"/>
        <n v="773.6"/>
        <n v="773.45999999999992"/>
        <n v="768.8257142857143"/>
        <n v="766.32428571428568"/>
        <n v="765.45857142857142"/>
        <n v="762.7600000000001"/>
        <n v="762.05"/>
        <n v="761.05285714285708"/>
        <n v="761.27428571428572"/>
        <n v="764.54571428571421"/>
        <n v="765.03"/>
        <n v="763.98714285714289"/>
        <n v="766.23428571428565"/>
        <n v="766.37285714285724"/>
        <n v="780.62142857142862"/>
        <n v="797.05000000000007"/>
        <n v="800.68142857142868"/>
        <n v="804.9671428571429"/>
        <n v="810.39"/>
        <n v="812.61285714285714"/>
        <n v="815.75285714285724"/>
        <n v="805.14857142857124"/>
        <n v="791.43428571428569"/>
        <n v="790.30142857142869"/>
        <n v="791.92142857142869"/>
        <n v="791.49285714285713"/>
        <n v="790.93428571428569"/>
        <n v="793.33714285714291"/>
        <n v="795.76571428571435"/>
        <n v="797.90857142857146"/>
        <n v="800.05142857142857"/>
        <n v="805.57571428571441"/>
        <n v="811.84428571428566"/>
        <n v="817.66571428571444"/>
        <n v="822.91428571428571"/>
        <n v="825.43999999999994"/>
        <n v="827.45428571428579"/>
        <n v="827.72428571428577"/>
        <n v="821.86"/>
        <n v="816.27714285714296"/>
        <n v="812.3"/>
        <n v="805.07999999999993"/>
        <n v="801.26857142857148"/>
        <n v="797.54"/>
        <n v="795.26999999999987"/>
        <n v="794.42857142857144"/>
        <n v="794"/>
        <n v="794.28571428571433"/>
        <n v="795.85714285714289"/>
        <n v="795.42857142857144"/>
        <n v="797.35"/>
        <n v="797.92142857142858"/>
        <n v="796.35"/>
        <n v="794.63571428571424"/>
        <n v="793.06428571428569"/>
        <n v="802.77857142857135"/>
        <n v="817.14285714285711"/>
        <n v="831.91285714285721"/>
        <n v="848.39714285714297"/>
        <n v="864.84000000000015"/>
        <n v="878.41142857142859"/>
        <n v="888.64142857142849"/>
        <n v="896.78857142857123"/>
        <n v="893.79285714285709"/>
        <n v="890.59428571428566"/>
        <n v="888.52428571428561"/>
        <n v="889.57285714285717"/>
        <n v="893.71571428571428"/>
        <n v="896.19999999999993"/>
        <n v="900.76714285714286"/>
        <n v="910.68999999999994"/>
        <n v="921.26857142857148"/>
        <n v="930.71142857142866"/>
        <n v="924.0757142857143"/>
        <n v="915.47142857142842"/>
        <n v="907.61428571428564"/>
        <n v="904.97428571428566"/>
        <n v="896.33857142857141"/>
        <n v="886.76142857142872"/>
        <n v="880.5557142857142"/>
        <n v="885.45285714285717"/>
        <n v="890.25571428571425"/>
        <n v="895.99857142857138"/>
        <n v="895.50285714285712"/>
        <n v="925.49714285714288"/>
        <n v="968.63"/>
        <n v="1031.8900000000001"/>
        <n v="1105.2971428571429"/>
        <n v="1181.53"/>
        <n v="1254.2157142857143"/>
        <n v="1329.3700000000001"/>
        <n v="1378.5214285714285"/>
        <n v="1418.7614285714287"/>
        <n v="1439.2785714285715"/>
        <n v="1453.7742857142855"/>
        <n v="1467.2842857142857"/>
        <n v="1482.8842857142859"/>
        <n v="1493.6842857142858"/>
        <n v="1500.6371428571426"/>
        <n v="1519.4057142857143"/>
        <n v="1534.4057142857143"/>
        <n v="1530.6642857142856"/>
        <n v="1526.9228571428571"/>
        <n v="1525.4442857142858"/>
        <n v="1537.6371428571426"/>
        <n v="1557.1985714285713"/>
        <n v="1558.8485714285712"/>
        <n v="1550.2771428571427"/>
        <n v="1558.16"/>
        <n v="1568.39"/>
        <n v="1580.4357142857141"/>
        <n v="1582.0157142857145"/>
        <n v="1576.8271428571429"/>
        <n v="1577.9242857142856"/>
        <n v="1587.464285714286"/>
        <n v="1594.5114285714287"/>
        <n v="1598.8671428571431"/>
        <n v="1601.6628571428571"/>
        <n v="1599.2157142857143"/>
        <n v="1582.4885714285715"/>
        <n v="1573.4828571428573"/>
        <n v="1544.6485714285716"/>
        <n v="1523.9314285714286"/>
        <n v="1503.5585714285714"/>
        <n v="1474.1671428571431"/>
        <n v="1451.7557142857145"/>
        <n v="1443.024285714286"/>
        <n v="1406.1399999999999"/>
        <n v="1390.9114285714288"/>
        <n v="1366.9271428571428"/>
        <n v="1352.9428571428573"/>
        <n v="1345.2285714285715"/>
        <n v="1320.8528571428574"/>
        <n v="1294.4057142857143"/>
        <n v="1286.287142857143"/>
        <n v="1275.81"/>
        <n v="1270.9771428571428"/>
        <n v="1242.4057142857143"/>
        <n v="1213.8342857142857"/>
        <n v="1198.6200000000001"/>
        <n v="1188.7214285714285"/>
        <n v="1174.6299999999999"/>
        <n v="1142.0585714285714"/>
        <n v="1139.7485714285715"/>
        <n v="1151.1771428571428"/>
        <n v="1165.6128571428571"/>
        <n v="1185.4742857142858"/>
        <n v="1209.5785714285714"/>
        <n v="1239.217142857143"/>
        <n v="1294.5028571428572"/>
        <n v="1317.217142857143"/>
        <n v="1334.3457142857144"/>
        <n v="1352.6242857142859"/>
        <n v="1367.3342857142857"/>
        <n v="1375.1285714285714"/>
        <n v="1382.242857142857"/>
        <n v="1387.9642857142856"/>
        <n v="1395.2214285714285"/>
        <n v="1405.2214285714285"/>
        <n v="1422.2214285714288"/>
        <n v="1442.0785714285716"/>
        <n v="1461.5071428571428"/>
        <n v="1470.3928571428571"/>
        <n v="1484.7928571428572"/>
        <n v="1481.25"/>
        <n v="1484.1214285714286"/>
        <n v="1479.6928571428573"/>
        <n v="1473.2642857142857"/>
        <n v="1466.6928571428573"/>
        <n v="1442.9785714285715"/>
        <n v="1413"/>
        <n v="1381.7285714285715"/>
        <n v="1388.0142857142857"/>
        <n v="1390.1571428571428"/>
        <n v="1393.8714285714286"/>
        <n v="1397.5857142857144"/>
        <n v="1426.0142857142857"/>
        <n v="1444.5857142857144"/>
        <n v="1489.4285714285713"/>
        <n v="1495.2857142857142"/>
        <n v="1501.4285714285713"/>
        <n v="1505"/>
        <n v="1505.7142857142858"/>
        <n v="1503.0914285714284"/>
        <n v="1509.52"/>
        <n v="1507.3771428571429"/>
        <n v="1501.6628571428571"/>
        <n v="1500.2342857142855"/>
        <n v="1509.2857142857142"/>
        <n v="1513.5714285714287"/>
        <n v="1517.8571428571429"/>
        <n v="1522.1428571428571"/>
        <n v="1525"/>
        <n v="1527.8571428571429"/>
        <n v="1529.2857142857142"/>
        <n v="1530.7142857142858"/>
        <n v="1532.1428571428571"/>
        <n v="1533.5714285714287"/>
        <n v="1542.8571428571429"/>
        <n v="1552.1428571428571"/>
        <n v="1561.4285714285713"/>
        <n v="1570.7142857142858"/>
        <n v="1579.2857142857142"/>
        <n v="1587.8571428571429"/>
        <n v="1600"/>
        <n v="1605"/>
        <n v="1608.5714285714287"/>
        <n v="1612.1428571428571"/>
        <n v="1615"/>
        <n v="1618.5714285714287"/>
        <n v="1622.1428571428571"/>
        <n v="1627.1428571428571"/>
        <n v="1632.1428571428571"/>
        <n v="1637.1428571428571"/>
        <n v="1631.4285714285713"/>
        <n v="1625.7142857142858"/>
        <n v="1620"/>
        <n v="1610.7142857142858"/>
        <n v="1600.7142857142858"/>
        <n v="1589.7185714285715"/>
        <n v="1579.7185714285715"/>
        <n v="1581.1471428571426"/>
        <n v="1582.5757142857142"/>
        <n v="1584.0042857142855"/>
        <n v="1589.0042857142855"/>
        <n v="1585.7142857142858"/>
        <n v="1583.5714285714287"/>
        <n v="1581.4285714285713"/>
        <n v="1590"/>
        <n v="1592.1428571428571"/>
        <n v="1594.2857142857142"/>
        <n v="1596.4285714285713"/>
        <n v="1604.2857142857142"/>
        <n v="1621.4285714285713"/>
        <n v="1630.7142857142858"/>
        <n v="1635.6000000000001"/>
        <n v="1640.4857142857145"/>
        <n v="1645.3714285714289"/>
        <n v="1644.5428571428572"/>
        <n v="1643.714285714286"/>
        <n v="1641.457142857143"/>
        <n v="1639.2000000000003"/>
        <n v="1633.1685714285716"/>
        <n v="1635.1785714285713"/>
        <n v="1637.1885714285715"/>
        <n v="1641.4414285714286"/>
        <n v="1645.6942857142856"/>
        <n v="1649.9471428571428"/>
        <n v="1654.2"/>
        <n v="1661.06"/>
        <n v="1656.3071428571427"/>
        <n v="1651.5542857142859"/>
        <n v="1644.5585714285714"/>
        <n v="1637.5628571428572"/>
        <n v="1630.5671428571429"/>
        <n v="1623.5714285714287"/>
        <n v="1624.2857142857142"/>
        <n v="1626.4285714285713"/>
        <n v="1628.5714285714287"/>
        <n v="1634.037142857143"/>
        <n v="1637.3600000000001"/>
        <n v="1638.5400000000002"/>
        <n v="1639.72"/>
        <n v="1640.9"/>
        <n v="1642.0800000000002"/>
        <n v="1643.26"/>
        <n v="1644.1528571428571"/>
        <n v="1646.515714285714"/>
        <n v="1649.7714285714283"/>
        <n v="1652.3271428571427"/>
        <n v="1654.8828571428569"/>
        <n v="1657.7528571428572"/>
        <n v="1661.2742857142857"/>
        <n v="1663.9028571428571"/>
        <n v="1663.1642857142858"/>
        <n v="1663.0071428571428"/>
        <n v="1663.7985714285717"/>
        <n v="1664.93"/>
        <n v="1667.5028571428572"/>
        <n v="1669.4285714285713"/>
        <n v="1669.6214285714286"/>
        <n v="1672.8928571428571"/>
        <n v="1674.7085714285715"/>
        <n v="1675.3085714285714"/>
        <n v="1675.5685714285714"/>
        <n v="1672.6485714285714"/>
        <n v="1667.93"/>
        <n v="1660.6957142857141"/>
        <n v="1648.9485714285713"/>
        <n v="1629.6399999999999"/>
        <n v="1609.8657142857141"/>
        <n v="1590.81"/>
        <n v="1573.4342857142858"/>
        <n v="1557.5900000000001"/>
        <n v="1546.287142857143"/>
        <n v="1537.282857142857"/>
        <n v="1537.8899999999999"/>
        <n v="1539.7442857142858"/>
        <n v="1540.3057142857144"/>
        <n v="1540.1314285714284"/>
        <n v="1540.22"/>
        <n v="1540.0157142857145"/>
        <n v="1540.5085714285713"/>
        <n v="1539.1971428571428"/>
        <n v="1538.2757142857142"/>
        <n v="1537.2142857142858"/>
        <n v="1536.6328571428571"/>
        <n v="1536.5614285714287"/>
        <n v="1536.5514285714287"/>
        <n v="1536.2342857142855"/>
        <n v="1535.51"/>
        <n v="1534.052857142857"/>
        <n v="1534.0285714285712"/>
        <n v="1535.0700000000002"/>
        <n v="1535.6557142857143"/>
        <n v="1535.8457142857144"/>
        <n v="1537.2842857142857"/>
        <n v="1539.07"/>
        <n v="1542.1271428571429"/>
        <n v="1543.967142857143"/>
        <n v="1544.3700000000001"/>
        <n v="1544.8457142857144"/>
        <n v="1545.9414285714286"/>
        <n v="1546.4314285714286"/>
        <n v="1546.8600000000001"/>
        <n v="1546.7571428571428"/>
        <n v="1547.1528571428571"/>
        <n v="1547.9199999999998"/>
        <n v="1541.2057142857141"/>
        <n v="1531.6342857142856"/>
        <n v="1521.6657142857143"/>
        <n v="1513.0928571428572"/>
        <n v="1505.5114285714285"/>
        <n v="1497.93"/>
        <n v="1490.3485714285714"/>
        <n v="1490.1214285714286"/>
        <n v="1492.8042857142859"/>
        <n v="1495.8842857142859"/>
        <n v="1497.6000000000001"/>
        <n v="1499.3985714285716"/>
        <n v="1501.3400000000001"/>
        <n v="1502.4242857142858"/>
        <n v="1503.3657142857141"/>
        <n v="1504.6885714285713"/>
        <n v="1504.7942857142859"/>
        <n v="1504.7557142857142"/>
        <n v="1502.9142857142856"/>
        <n v="1500.7585714285713"/>
        <n v="1499.9014285714286"/>
        <n v="1499.1871428571428"/>
        <n v="1497.7528571428572"/>
        <n v="1497.3928571428571"/>
        <n v="1496.0985714285714"/>
        <n v="1496.6257142857141"/>
        <n v="1498.7814285714285"/>
        <n v="1503.9242857142858"/>
        <n v="1508.2100000000003"/>
        <n v="1512.9242857142858"/>
        <n v="1520.4957142857145"/>
        <n v="1528.5171428571427"/>
        <n v="1534.9742857142858"/>
        <n v="1537.4071428571428"/>
        <n v="1535.2642857142857"/>
        <n v="1533.9785714285713"/>
        <n v="1535.9785714285713"/>
        <n v="1531.5499999999997"/>
        <n v="1528.2899999999997"/>
        <n v="1526.5342857142855"/>
        <n v="1527.4785714285713"/>
        <n v="1529.7257142857143"/>
        <n v="1531.9871428571428"/>
        <n v="1530.69"/>
        <n v="1532.7457142857143"/>
        <n v="1534.0314285714285"/>
        <n v="1533.5542857142859"/>
        <n v="1540.4371428571428"/>
        <n v="1542.2014285714286"/>
        <n v="1546.8871428571426"/>
        <n v="1554.2014285714286"/>
        <n v="1563.3071428571432"/>
        <n v="1572.6471428571426"/>
        <n v="1583.1399999999999"/>
        <n v="1585.3500000000001"/>
        <n v="1593.02"/>
        <n v="1597.7157142857143"/>
        <n v="1599.6571428571426"/>
        <n v="1600.6578571428574"/>
        <n v="1601.9321428571425"/>
        <n v="1602.7342857142855"/>
        <n v="1604.2157142857143"/>
        <n v="1604.67"/>
        <n v="1605.1042857142857"/>
        <n v="1605.3442857142857"/>
        <n v="1605.5557142857142"/>
        <n v="1605.0242857142857"/>
        <n v="1604.8307142857143"/>
        <n v="1604.6985714285713"/>
        <n v="1605.2042857142858"/>
        <n v="1606.1478571428572"/>
        <n v="1606.8378571428568"/>
        <n v="1606.5078571428569"/>
        <n v="1606.2649999999999"/>
        <n v="1605.3728571428571"/>
        <n v="1604.4364285714287"/>
        <n v="1603.6064285714288"/>
        <n v="1602.1492857142857"/>
        <n v="1600.5835714285715"/>
        <n v="1598.3764285714285"/>
        <n v="1596.6814285714286"/>
        <n v="1594.9357142857141"/>
        <n v="1592.5307142857143"/>
        <n v="1590.3535714285715"/>
        <n v="1588.5714285714287"/>
        <n v="1587.6499999999999"/>
        <n v="1587.6635714285717"/>
        <n v="1586.8342857142857"/>
        <n v="1585.7800000000002"/>
        <n v="1584.927857142857"/>
        <n v="1580.9857142857143"/>
        <n v="1576.7978571428573"/>
        <n v="1572.2707142857143"/>
        <n v="1566.0192857142858"/>
        <n v="1560.1464285714285"/>
        <n v="1554.3100000000002"/>
        <n v="1549.6664285714287"/>
        <n v="1547.472857142857"/>
        <n v="1545.615"/>
        <n v="1544.0178571428571"/>
        <n v="1544.6757142857143"/>
        <n v="1545.4628571428573"/>
        <n v="1546.8392857142858"/>
        <n v="1547.4150000000002"/>
        <n v="1548.3278571428575"/>
        <n v="1547.9728571428573"/>
        <n v="1547.3342857142854"/>
        <n v="1545.56"/>
        <n v="1543.484285714286"/>
        <n v="1540.9085714285716"/>
        <n v="1538.5992857142858"/>
        <n v="1535.7878571428573"/>
        <n v="1534.5278571428571"/>
        <n v="1533.1835714285712"/>
        <n v="1532.6035714285715"/>
        <n v="1532.0771428571429"/>
        <n v="1531.9414285714286"/>
        <n v="1531.3871428571431"/>
        <n v="1531.1042857142857"/>
        <n v="1530.5828571428572"/>
        <n v="1529.7900000000002"/>
        <n v="1529.7350000000001"/>
        <n v="1529.6742857142856"/>
        <n v="1529.7528571428572"/>
        <n v="1530.3678571428572"/>
        <n v="1530.9357142857141"/>
        <n v="1531.287142857143"/>
        <n v="1531.7521428571429"/>
        <n v="1531.905"/>
        <n v="1531.9592857142857"/>
        <n v="1531.8607142857143"/>
        <n v="1531.832142857143"/>
        <n v="1530.89"/>
        <n v="1529.984285714286"/>
        <n v="1530.0464285714286"/>
        <n v="1530.2557142857145"/>
        <n v="1530.5921428571426"/>
        <n v="1531.3400000000001"/>
        <n v="1531.8028571428572"/>
        <n v="1532.6885714285713"/>
        <n v="1533.3978571428572"/>
        <n v="1533.1450000000002"/>
        <n v="1533.1157142857141"/>
        <n v="1533.1592857142857"/>
        <n v="1533.2564285714286"/>
        <n v="1533.3357142857144"/>
        <n v="1533.8714285714286"/>
        <n v="1534.6257142857141"/>
        <n v="1535.7014285714286"/>
        <n v="1535.9878571428574"/>
        <n v="1536.1121428571428"/>
        <n v="1536.132142857143"/>
        <n v="1535.1207142857145"/>
        <n v="1535.6135714285715"/>
        <n v="1536.0342857142859"/>
        <n v="1534.4957142857145"/>
        <n v="1533.3571428571429"/>
        <n v="1529.4442857142858"/>
        <n v="1525.0478571428571"/>
        <n v="1521.3264285714286"/>
        <n v="1516.4264285714287"/>
        <n v="1510.724285714286"/>
        <n v="1506.7114285714285"/>
        <n v="1501.9907142857141"/>
        <n v="1500.4221428571429"/>
        <n v="1498.9192857142859"/>
        <n v="1497.3735714285715"/>
        <n v="1495.7414285714283"/>
        <n v="1494.420714285714"/>
        <n v="1493.5321428571426"/>
        <n v="1492.7850000000001"/>
        <n v="1491.4578571428572"/>
        <n v="1490.0321428571426"/>
        <n v="1488.6557142857143"/>
        <n v="1487.2157142857143"/>
        <n v="1484.2707142857143"/>
        <n v="1481.3114285714287"/>
        <n v="1478.6228571428571"/>
        <n v="1476.4164285714285"/>
        <n v="1474.6057142857142"/>
        <n v="1473.5571428571432"/>
        <n v="1470.5450000000003"/>
        <n v="1469.1814285714283"/>
        <n v="1467.3507142857143"/>
        <n v="1466.9907142857144"/>
        <n v="1466.7557142857145"/>
        <n v="1466.2414285714287"/>
        <n v="1464.8035714285718"/>
        <n v="1465.2221428571429"/>
        <n v="1465.6885714285713"/>
        <n v="1466.4771428571428"/>
        <n v="1465.3035714285713"/>
        <n v="1463.748571428571"/>
        <n v="1461.6885714285713"/>
        <n v="1459.2542857142855"/>
        <n v="1456.0042857142855"/>
        <n v="1453.6271428571424"/>
        <n v="1450.4185714285716"/>
        <n v="1447.7864285714288"/>
        <n v="1445.3249999999996"/>
        <n v="1442.8742857142859"/>
        <n v="1440.9171428571431"/>
        <n v="1440.375"/>
        <n v="1439.3392857142856"/>
        <n v="1439.2592857142859"/>
        <n v="1439.062857142857"/>
        <n v="1439.140714285714"/>
        <n v="1440.1764285714287"/>
        <n v="1442.2221428571429"/>
        <n v="1443.9042857142856"/>
        <n v="1445.8942857142858"/>
        <n v="1447.5364285714284"/>
        <n v="1449.597857142857"/>
        <n v="1450.7221428571429"/>
        <n v="1450.9814285714285"/>
        <n v="1450.5478571428573"/>
        <n v="1450.1285714285716"/>
        <n v="1449.1892857142859"/>
        <n v="1448.4235714285714"/>
        <n v="1447.3407142857143"/>
        <n v="1447.3121428571428"/>
        <n v="1447.7085714285713"/>
        <n v="1448.1478571428572"/>
        <n v="1448.7442857142858"/>
        <n v="1449.8035714285713"/>
        <n v="1450.6007142857143"/>
        <n v="1451.4035714285715"/>
        <n v="1451.7564285714288"/>
        <n v="1452.0871428571429"/>
        <n v="1452.7228571428573"/>
        <n v="1453.3285714285714"/>
        <n v="1454.2107142857142"/>
        <n v="1454.9328571428571"/>
        <n v="1456.1285714285716"/>
        <n v="1455.9042857142861"/>
        <n v="1455.697142857143"/>
        <n v="1455.3799999999999"/>
        <n v="1455.0278571428571"/>
        <n v="1454.2150000000001"/>
        <n v="1452.3507142857143"/>
        <n v="1450.2071428571428"/>
        <n v="1447.8642857142856"/>
        <n v="1445.4371428571426"/>
        <n v="1441.5507142857143"/>
        <n v="1437.1399999999999"/>
        <n v="1432.762857142857"/>
        <n v="1430.52"/>
        <n v="1427.3150000000001"/>
        <n v="1425.6371428571431"/>
        <n v="1423.9507142857144"/>
        <n v="1423.6442857142858"/>
        <n v="1422.8942857142858"/>
        <n v="1422.2142857142858"/>
        <n v="1420.7550000000003"/>
        <n v="1420.2057142857141"/>
        <n v="1420.1464285714285"/>
        <n v="1420.0049999999999"/>
        <n v="1419.2342857142855"/>
        <n v="1417.8914285714286"/>
        <n v="1414.3707142857143"/>
        <n v="1409.6342857142859"/>
        <n v="1404.8107142857141"/>
      </sharedItems>
    </cacheField>
    <cacheField name="Weekday" numFmtId="2">
      <sharedItems/>
    </cacheField>
    <cacheField name="Quarters" numFmtId="0" databaseField="0">
      <fieldGroup base="0">
        <rangePr groupBy="quarters" startDate="2023-01-02T00:00:00" endDate="2026-01-31T00:00:00"/>
        <groupItems count="6">
          <s v="&lt;1/2/2023"/>
          <s v="Qtr1"/>
          <s v="Qtr2"/>
          <s v="Qtr3"/>
          <s v="Qtr4"/>
          <s v="&gt;1/31/2026"/>
        </groupItems>
      </fieldGroup>
    </cacheField>
    <cacheField name="Years" numFmtId="0" databaseField="0">
      <fieldGroup base="0">
        <rangePr groupBy="years" startDate="2023-01-02T00:00:00" endDate="2026-01-31T00:00:00"/>
        <groupItems count="6">
          <s v="&lt;1/2/2023"/>
          <s v="2023"/>
          <s v="2024"/>
          <s v="2025"/>
          <s v="2026"/>
          <s v="&gt;1/31/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5">
  <r>
    <x v="0"/>
    <n v="447.58"/>
    <n v="448.08"/>
    <n v="448.08"/>
    <n v="448.08"/>
    <n v="0"/>
    <x v="0"/>
    <x v="0"/>
    <n v="1"/>
    <x v="0"/>
    <n v="1"/>
    <x v="0"/>
    <s v="Mon"/>
  </r>
  <r>
    <x v="1"/>
    <n v="448.05"/>
    <n v="448.08"/>
    <n v="448.55"/>
    <n v="445.5"/>
    <n v="1.1000000000000001E-3"/>
    <x v="0"/>
    <x v="0"/>
    <n v="1"/>
    <x v="0"/>
    <n v="1"/>
    <x v="0"/>
    <s v="Tue"/>
  </r>
  <r>
    <x v="2"/>
    <n v="448.51"/>
    <n v="448.55"/>
    <n v="449.01"/>
    <n v="448.55"/>
    <n v="1E-3"/>
    <x v="0"/>
    <x v="0"/>
    <n v="1"/>
    <x v="0"/>
    <n v="1"/>
    <x v="0"/>
    <s v="Wed"/>
  </r>
  <r>
    <x v="3"/>
    <n v="449.03"/>
    <n v="449.01"/>
    <n v="449.53"/>
    <n v="449.01"/>
    <n v="1.1999999999999999E-3"/>
    <x v="0"/>
    <x v="0"/>
    <n v="1"/>
    <x v="0"/>
    <n v="1"/>
    <x v="0"/>
    <s v="Thu"/>
  </r>
  <r>
    <x v="4"/>
    <n v="449.55"/>
    <n v="449.53"/>
    <n v="450.05"/>
    <n v="449.53"/>
    <n v="1.1999999999999999E-3"/>
    <x v="0"/>
    <x v="0"/>
    <n v="1"/>
    <x v="0"/>
    <n v="1"/>
    <x v="0"/>
    <s v="Fri"/>
  </r>
  <r>
    <x v="5"/>
    <n v="449.55"/>
    <n v="450.05"/>
    <n v="450.08"/>
    <n v="450.05"/>
    <n v="0"/>
    <x v="0"/>
    <x v="0"/>
    <n v="1"/>
    <x v="0"/>
    <n v="2"/>
    <x v="1"/>
    <s v="Mon"/>
  </r>
  <r>
    <x v="6"/>
    <n v="449.58"/>
    <n v="450.05"/>
    <n v="450.08"/>
    <n v="450.05"/>
    <n v="1E-4"/>
    <x v="0"/>
    <x v="0"/>
    <n v="1"/>
    <x v="0"/>
    <n v="2"/>
    <x v="2"/>
    <s v="Tue"/>
  </r>
  <r>
    <x v="7"/>
    <n v="451.1"/>
    <n v="450.08"/>
    <n v="451.6"/>
    <n v="450.08"/>
    <n v="3.3999999999999998E-3"/>
    <x v="0"/>
    <x v="0"/>
    <n v="1"/>
    <x v="0"/>
    <n v="2"/>
    <x v="3"/>
    <s v="Wed"/>
  </r>
  <r>
    <x v="8"/>
    <n v="451.63"/>
    <n v="451.6"/>
    <n v="452.13"/>
    <n v="451.6"/>
    <n v="1.1999999999999999E-3"/>
    <x v="0"/>
    <x v="0"/>
    <n v="1"/>
    <x v="0"/>
    <n v="2"/>
    <x v="4"/>
    <s v="Thu"/>
  </r>
  <r>
    <x v="9"/>
    <n v="452.09"/>
    <n v="452.13"/>
    <n v="452.59"/>
    <n v="452.13"/>
    <n v="1E-3"/>
    <x v="0"/>
    <x v="0"/>
    <n v="1"/>
    <x v="0"/>
    <n v="2"/>
    <x v="5"/>
    <s v="Fri"/>
  </r>
  <r>
    <x v="10"/>
    <n v="452.12"/>
    <n v="452.59"/>
    <n v="460.5"/>
    <n v="452.59"/>
    <n v="1E-4"/>
    <x v="0"/>
    <x v="0"/>
    <n v="1"/>
    <x v="0"/>
    <n v="3"/>
    <x v="6"/>
    <s v="Mon"/>
  </r>
  <r>
    <x v="11"/>
    <n v="453.08"/>
    <n v="452.62"/>
    <n v="460.5"/>
    <n v="452.62"/>
    <n v="2.0999999999999999E-3"/>
    <x v="0"/>
    <x v="0"/>
    <n v="1"/>
    <x v="0"/>
    <n v="3"/>
    <x v="7"/>
    <s v="Tue"/>
  </r>
  <r>
    <x v="12"/>
    <n v="453.08"/>
    <n v="453.58"/>
    <n v="460.5"/>
    <n v="453.58"/>
    <n v="0"/>
    <x v="0"/>
    <x v="0"/>
    <n v="1"/>
    <x v="0"/>
    <n v="3"/>
    <x v="8"/>
    <s v="Wed"/>
  </r>
  <r>
    <x v="13"/>
    <n v="453.08"/>
    <n v="453.58"/>
    <n v="460.5"/>
    <n v="453.58"/>
    <n v="0"/>
    <x v="0"/>
    <x v="0"/>
    <n v="1"/>
    <x v="0"/>
    <n v="3"/>
    <x v="9"/>
    <s v="Thu"/>
  </r>
  <r>
    <x v="14"/>
    <n v="454.56"/>
    <n v="453.58"/>
    <n v="455.06"/>
    <n v="453.58"/>
    <n v="3.3E-3"/>
    <x v="0"/>
    <x v="0"/>
    <n v="1"/>
    <x v="0"/>
    <n v="3"/>
    <x v="10"/>
    <s v="Fri"/>
  </r>
  <r>
    <x v="15"/>
    <n v="454.56"/>
    <n v="455.06"/>
    <n v="460.5"/>
    <n v="455.05"/>
    <n v="0"/>
    <x v="0"/>
    <x v="0"/>
    <n v="1"/>
    <x v="0"/>
    <n v="4"/>
    <x v="11"/>
    <s v="Mon"/>
  </r>
  <r>
    <x v="16"/>
    <n v="459.31"/>
    <n v="455.06"/>
    <n v="459.81"/>
    <n v="455.06"/>
    <n v="1.04E-2"/>
    <x v="0"/>
    <x v="0"/>
    <n v="1"/>
    <x v="0"/>
    <n v="4"/>
    <x v="12"/>
    <s v="Tue"/>
  </r>
  <r>
    <x v="17"/>
    <n v="459.47"/>
    <n v="459.81"/>
    <n v="459.97"/>
    <n v="459.8"/>
    <n v="2.9999999999999997E-4"/>
    <x v="0"/>
    <x v="0"/>
    <n v="1"/>
    <x v="0"/>
    <n v="4"/>
    <x v="13"/>
    <s v="Wed"/>
  </r>
  <r>
    <x v="18"/>
    <n v="459.78"/>
    <n v="459.97"/>
    <n v="460.28"/>
    <n v="459.97"/>
    <n v="6.9999999999999999E-4"/>
    <x v="0"/>
    <x v="0"/>
    <n v="1"/>
    <x v="0"/>
    <n v="4"/>
    <x v="14"/>
    <s v="Thu"/>
  </r>
  <r>
    <x v="19"/>
    <n v="459.78"/>
    <n v="460.28"/>
    <n v="460.3"/>
    <n v="460.28"/>
    <n v="0"/>
    <x v="0"/>
    <x v="0"/>
    <n v="1"/>
    <x v="0"/>
    <n v="4"/>
    <x v="15"/>
    <s v="Fri"/>
  </r>
  <r>
    <x v="20"/>
    <n v="459.91"/>
    <n v="460.28"/>
    <n v="460.5"/>
    <n v="460.28"/>
    <n v="2.9999999999999997E-4"/>
    <x v="0"/>
    <x v="0"/>
    <n v="1"/>
    <x v="0"/>
    <n v="5"/>
    <x v="16"/>
    <s v="Mon"/>
  </r>
  <r>
    <x v="21"/>
    <n v="460.02"/>
    <n v="460.41"/>
    <n v="460.52"/>
    <n v="460.41"/>
    <n v="2.0000000000000001E-4"/>
    <x v="0"/>
    <x v="0"/>
    <n v="1"/>
    <x v="0"/>
    <n v="5"/>
    <x v="17"/>
    <s v="Tue"/>
  </r>
  <r>
    <x v="22"/>
    <n v="460.02"/>
    <n v="460.52"/>
    <n v="460.55"/>
    <n v="460.5"/>
    <n v="0"/>
    <x v="0"/>
    <x v="1"/>
    <n v="2"/>
    <x v="1"/>
    <n v="5"/>
    <x v="18"/>
    <s v="Wed"/>
  </r>
  <r>
    <x v="23"/>
    <n v="460.04"/>
    <n v="460.52"/>
    <n v="460.54"/>
    <n v="460.52"/>
    <n v="0"/>
    <x v="0"/>
    <x v="1"/>
    <n v="2"/>
    <x v="1"/>
    <n v="5"/>
    <x v="19"/>
    <s v="Thu"/>
  </r>
  <r>
    <x v="24"/>
    <n v="460.04"/>
    <n v="460.54"/>
    <n v="460.54"/>
    <n v="460.53"/>
    <n v="0"/>
    <x v="0"/>
    <x v="1"/>
    <n v="2"/>
    <x v="1"/>
    <n v="5"/>
    <x v="20"/>
    <s v="Fri"/>
  </r>
  <r>
    <x v="25"/>
    <n v="459.2"/>
    <n v="460.54"/>
    <n v="460.55"/>
    <n v="459.7"/>
    <n v="-1.8E-3"/>
    <x v="0"/>
    <x v="1"/>
    <n v="2"/>
    <x v="1"/>
    <n v="6"/>
    <x v="21"/>
    <s v="Mon"/>
  </r>
  <r>
    <x v="26"/>
    <n v="459.92"/>
    <n v="459.7"/>
    <n v="460.42"/>
    <n v="459.7"/>
    <n v="1.6000000000000001E-3"/>
    <x v="0"/>
    <x v="1"/>
    <n v="2"/>
    <x v="1"/>
    <n v="6"/>
    <x v="22"/>
    <s v="Tue"/>
  </r>
  <r>
    <x v="27"/>
    <n v="459.92"/>
    <n v="460.42"/>
    <n v="460.45"/>
    <n v="460.42"/>
    <n v="0"/>
    <x v="0"/>
    <x v="1"/>
    <n v="2"/>
    <x v="1"/>
    <n v="6"/>
    <x v="23"/>
    <s v="Wed"/>
  </r>
  <r>
    <x v="28"/>
    <n v="459.97"/>
    <n v="460.42"/>
    <n v="460.47"/>
    <n v="460.4"/>
    <n v="1E-4"/>
    <x v="0"/>
    <x v="1"/>
    <n v="2"/>
    <x v="1"/>
    <n v="6"/>
    <x v="24"/>
    <s v="Thu"/>
  </r>
  <r>
    <x v="29"/>
    <n v="458.99"/>
    <n v="460.47"/>
    <n v="460.47"/>
    <n v="459.49"/>
    <n v="-2.0999999999999999E-3"/>
    <x v="0"/>
    <x v="1"/>
    <n v="2"/>
    <x v="1"/>
    <n v="6"/>
    <x v="25"/>
    <s v="Fri"/>
  </r>
  <r>
    <x v="30"/>
    <n v="460.02"/>
    <n v="459.49"/>
    <n v="460.52"/>
    <n v="459.49"/>
    <n v="2.2000000000000001E-3"/>
    <x v="0"/>
    <x v="1"/>
    <n v="2"/>
    <x v="1"/>
    <n v="7"/>
    <x v="26"/>
    <s v="Mon"/>
  </r>
  <r>
    <x v="31"/>
    <n v="460.06"/>
    <n v="460.52"/>
    <n v="460.56"/>
    <n v="460.52"/>
    <n v="1E-4"/>
    <x v="0"/>
    <x v="1"/>
    <n v="2"/>
    <x v="1"/>
    <n v="7"/>
    <x v="25"/>
    <s v="Tue"/>
  </r>
  <r>
    <x v="32"/>
    <n v="460.06"/>
    <n v="460.56"/>
    <n v="460.6"/>
    <n v="460.5"/>
    <n v="0"/>
    <x v="0"/>
    <x v="1"/>
    <n v="2"/>
    <x v="1"/>
    <n v="7"/>
    <x v="27"/>
    <s v="Wed"/>
  </r>
  <r>
    <x v="33"/>
    <n v="460.05"/>
    <n v="460.56"/>
    <n v="460.56"/>
    <n v="460.5"/>
    <n v="0"/>
    <x v="0"/>
    <x v="1"/>
    <n v="2"/>
    <x v="1"/>
    <n v="7"/>
    <x v="28"/>
    <s v="Thu"/>
  </r>
  <r>
    <x v="34"/>
    <n v="460.04"/>
    <n v="460.55"/>
    <n v="460.56"/>
    <n v="460.5"/>
    <n v="0"/>
    <x v="0"/>
    <x v="1"/>
    <n v="2"/>
    <x v="1"/>
    <n v="7"/>
    <x v="29"/>
    <s v="Fri"/>
  </r>
  <r>
    <x v="35"/>
    <n v="460.05"/>
    <n v="460.54"/>
    <n v="460.55"/>
    <n v="460.5"/>
    <n v="0"/>
    <x v="0"/>
    <x v="1"/>
    <n v="2"/>
    <x v="1"/>
    <n v="8"/>
    <x v="30"/>
    <s v="Mon"/>
  </r>
  <r>
    <x v="36"/>
    <n v="459.97"/>
    <n v="460.55"/>
    <n v="460.55"/>
    <n v="460.47"/>
    <n v="-2.0000000000000001E-4"/>
    <x v="0"/>
    <x v="1"/>
    <n v="2"/>
    <x v="1"/>
    <n v="8"/>
    <x v="31"/>
    <s v="Tue"/>
  </r>
  <r>
    <x v="37"/>
    <n v="459.97"/>
    <n v="460.47"/>
    <n v="460.47"/>
    <n v="460.45"/>
    <n v="0"/>
    <x v="0"/>
    <x v="1"/>
    <n v="2"/>
    <x v="1"/>
    <n v="8"/>
    <x v="32"/>
    <s v="Wed"/>
  </r>
  <r>
    <x v="38"/>
    <n v="459.94"/>
    <n v="460.47"/>
    <n v="460.47"/>
    <n v="460.44"/>
    <n v="-1E-4"/>
    <x v="0"/>
    <x v="1"/>
    <n v="2"/>
    <x v="1"/>
    <n v="8"/>
    <x v="33"/>
    <s v="Thu"/>
  </r>
  <r>
    <x v="39"/>
    <n v="459.94"/>
    <n v="460.44"/>
    <n v="460.44"/>
    <n v="460.43"/>
    <n v="0"/>
    <x v="0"/>
    <x v="1"/>
    <n v="2"/>
    <x v="1"/>
    <n v="8"/>
    <x v="34"/>
    <s v="Fri"/>
  </r>
  <r>
    <x v="40"/>
    <n v="459.95"/>
    <n v="460.44"/>
    <n v="460.45"/>
    <n v="460.43"/>
    <n v="0"/>
    <x v="0"/>
    <x v="1"/>
    <n v="2"/>
    <x v="1"/>
    <n v="9"/>
    <x v="35"/>
    <s v="Mon"/>
  </r>
  <r>
    <x v="41"/>
    <n v="459.97"/>
    <n v="460.45"/>
    <n v="460.47"/>
    <n v="460.44"/>
    <n v="0"/>
    <x v="0"/>
    <x v="1"/>
    <n v="2"/>
    <x v="1"/>
    <n v="9"/>
    <x v="36"/>
    <s v="Tue"/>
  </r>
  <r>
    <x v="42"/>
    <n v="459.97"/>
    <n v="460.47"/>
    <n v="460.47"/>
    <n v="460.46"/>
    <n v="0"/>
    <x v="0"/>
    <x v="2"/>
    <n v="3"/>
    <x v="2"/>
    <n v="9"/>
    <x v="37"/>
    <s v="Wed"/>
  </r>
  <r>
    <x v="43"/>
    <n v="459.97"/>
    <n v="460.47"/>
    <n v="460.47"/>
    <n v="460.45"/>
    <n v="0"/>
    <x v="0"/>
    <x v="2"/>
    <n v="3"/>
    <x v="2"/>
    <n v="9"/>
    <x v="38"/>
    <s v="Thu"/>
  </r>
  <r>
    <x v="44"/>
    <n v="459.96"/>
    <n v="460.47"/>
    <n v="460.48"/>
    <n v="460.46"/>
    <n v="0"/>
    <x v="0"/>
    <x v="2"/>
    <n v="3"/>
    <x v="2"/>
    <n v="9"/>
    <x v="39"/>
    <s v="Fri"/>
  </r>
  <r>
    <x v="45"/>
    <n v="459.96"/>
    <n v="460.46"/>
    <n v="460.46"/>
    <n v="460.45"/>
    <n v="0"/>
    <x v="0"/>
    <x v="2"/>
    <n v="3"/>
    <x v="2"/>
    <n v="10"/>
    <x v="40"/>
    <s v="Mon"/>
  </r>
  <r>
    <x v="46"/>
    <n v="459.96"/>
    <n v="460.46"/>
    <n v="460.47"/>
    <n v="460.46"/>
    <n v="0"/>
    <x v="0"/>
    <x v="2"/>
    <n v="3"/>
    <x v="2"/>
    <n v="10"/>
    <x v="41"/>
    <s v="Tue"/>
  </r>
  <r>
    <x v="47"/>
    <n v="459.99"/>
    <n v="460.46"/>
    <n v="460.49"/>
    <n v="460.45"/>
    <n v="1E-4"/>
    <x v="0"/>
    <x v="2"/>
    <n v="3"/>
    <x v="2"/>
    <n v="10"/>
    <x v="42"/>
    <s v="Wed"/>
  </r>
  <r>
    <x v="48"/>
    <n v="460.02"/>
    <n v="460.49"/>
    <n v="460.52"/>
    <n v="460.48"/>
    <n v="1E-4"/>
    <x v="0"/>
    <x v="2"/>
    <n v="3"/>
    <x v="2"/>
    <n v="10"/>
    <x v="43"/>
    <s v="Thu"/>
  </r>
  <r>
    <x v="49"/>
    <n v="460.02"/>
    <n v="460.52"/>
    <n v="460.55"/>
    <n v="460.52"/>
    <n v="0"/>
    <x v="0"/>
    <x v="2"/>
    <n v="3"/>
    <x v="2"/>
    <n v="10"/>
    <x v="44"/>
    <s v="Fri"/>
  </r>
  <r>
    <x v="50"/>
    <n v="460.02"/>
    <n v="460.52"/>
    <n v="460.53"/>
    <n v="460.52"/>
    <n v="0"/>
    <x v="0"/>
    <x v="2"/>
    <n v="3"/>
    <x v="2"/>
    <n v="11"/>
    <x v="45"/>
    <s v="Mon"/>
  </r>
  <r>
    <x v="51"/>
    <n v="460.03"/>
    <n v="460.52"/>
    <n v="460.53"/>
    <n v="460.52"/>
    <n v="0"/>
    <x v="0"/>
    <x v="2"/>
    <n v="3"/>
    <x v="2"/>
    <n v="11"/>
    <x v="46"/>
    <s v="Tue"/>
  </r>
  <r>
    <x v="52"/>
    <n v="460.04"/>
    <n v="460.53"/>
    <n v="460.54"/>
    <n v="460.53"/>
    <n v="0"/>
    <x v="0"/>
    <x v="2"/>
    <n v="3"/>
    <x v="2"/>
    <n v="11"/>
    <x v="47"/>
    <s v="Wed"/>
  </r>
  <r>
    <x v="53"/>
    <n v="459.94"/>
    <n v="460.54"/>
    <n v="460.55"/>
    <n v="460.44"/>
    <n v="-2.0000000000000001E-4"/>
    <x v="0"/>
    <x v="2"/>
    <n v="3"/>
    <x v="2"/>
    <n v="11"/>
    <x v="48"/>
    <s v="Thu"/>
  </r>
  <r>
    <x v="54"/>
    <n v="459.94"/>
    <n v="460.44"/>
    <n v="460.45"/>
    <n v="460.44"/>
    <n v="0"/>
    <x v="0"/>
    <x v="2"/>
    <n v="3"/>
    <x v="2"/>
    <n v="11"/>
    <x v="49"/>
    <s v="Fri"/>
  </r>
  <r>
    <x v="55"/>
    <n v="459.89"/>
    <n v="460.44"/>
    <n v="460.5"/>
    <n v="460.39"/>
    <n v="-1E-4"/>
    <x v="0"/>
    <x v="2"/>
    <n v="3"/>
    <x v="2"/>
    <n v="12"/>
    <x v="50"/>
    <s v="Mon"/>
  </r>
  <r>
    <x v="56"/>
    <n v="459.92"/>
    <n v="460.39"/>
    <n v="460.42"/>
    <n v="460.39"/>
    <n v="1E-4"/>
    <x v="0"/>
    <x v="2"/>
    <n v="3"/>
    <x v="2"/>
    <n v="12"/>
    <x v="42"/>
    <s v="Tue"/>
  </r>
  <r>
    <x v="57"/>
    <n v="459.95"/>
    <n v="460.42"/>
    <n v="460.45"/>
    <n v="460.42"/>
    <n v="1E-4"/>
    <x v="0"/>
    <x v="2"/>
    <n v="3"/>
    <x v="2"/>
    <n v="12"/>
    <x v="37"/>
    <s v="Wed"/>
  </r>
  <r>
    <x v="58"/>
    <n v="459.98"/>
    <n v="460.45"/>
    <n v="460.48"/>
    <n v="460.45"/>
    <n v="1E-4"/>
    <x v="0"/>
    <x v="2"/>
    <n v="3"/>
    <x v="2"/>
    <n v="12"/>
    <x v="51"/>
    <s v="Thu"/>
  </r>
  <r>
    <x v="59"/>
    <n v="459.98"/>
    <n v="460.48"/>
    <n v="460.48"/>
    <n v="460.47"/>
    <n v="0"/>
    <x v="0"/>
    <x v="2"/>
    <n v="3"/>
    <x v="2"/>
    <n v="12"/>
    <x v="52"/>
    <s v="Fri"/>
  </r>
  <r>
    <x v="60"/>
    <n v="459.9"/>
    <n v="460.48"/>
    <n v="460.5"/>
    <n v="460.4"/>
    <n v="-2.0000000000000001E-4"/>
    <x v="0"/>
    <x v="2"/>
    <n v="3"/>
    <x v="2"/>
    <n v="13"/>
    <x v="53"/>
    <s v="Mon"/>
  </r>
  <r>
    <x v="61"/>
    <n v="459.85"/>
    <n v="460.4"/>
    <n v="460.41"/>
    <n v="460.35"/>
    <n v="-1E-4"/>
    <x v="0"/>
    <x v="2"/>
    <n v="3"/>
    <x v="2"/>
    <n v="13"/>
    <x v="54"/>
    <s v="Tue"/>
  </r>
  <r>
    <x v="62"/>
    <n v="459.82"/>
    <n v="460.35"/>
    <n v="460.4"/>
    <n v="460.32"/>
    <n v="-1E-4"/>
    <x v="0"/>
    <x v="2"/>
    <n v="3"/>
    <x v="2"/>
    <n v="13"/>
    <x v="55"/>
    <s v="Wed"/>
  </r>
  <r>
    <x v="63"/>
    <n v="459.85"/>
    <n v="460.32"/>
    <n v="460.35"/>
    <n v="460.29"/>
    <n v="1E-4"/>
    <x v="0"/>
    <x v="2"/>
    <n v="3"/>
    <x v="2"/>
    <n v="13"/>
    <x v="56"/>
    <s v="Thu"/>
  </r>
  <r>
    <x v="64"/>
    <n v="459.84"/>
    <n v="460.35"/>
    <n v="460.35"/>
    <n v="460.34"/>
    <n v="0"/>
    <x v="0"/>
    <x v="2"/>
    <n v="3"/>
    <x v="2"/>
    <n v="13"/>
    <x v="57"/>
    <s v="Fri"/>
  </r>
  <r>
    <x v="65"/>
    <n v="459.83"/>
    <n v="460.34"/>
    <n v="460.35"/>
    <n v="460.32"/>
    <n v="0"/>
    <x v="0"/>
    <x v="3"/>
    <n v="4"/>
    <x v="3"/>
    <n v="14"/>
    <x v="28"/>
    <s v="Mon"/>
  </r>
  <r>
    <x v="66"/>
    <n v="459.83"/>
    <n v="460.33"/>
    <n v="460.33"/>
    <n v="460.32"/>
    <n v="0"/>
    <x v="0"/>
    <x v="3"/>
    <n v="4"/>
    <x v="3"/>
    <n v="14"/>
    <x v="58"/>
    <s v="Tue"/>
  </r>
  <r>
    <x v="67"/>
    <n v="459.86"/>
    <n v="460.33"/>
    <n v="460.36"/>
    <n v="460.32"/>
    <n v="1E-4"/>
    <x v="0"/>
    <x v="3"/>
    <n v="4"/>
    <x v="3"/>
    <n v="14"/>
    <x v="59"/>
    <s v="Wed"/>
  </r>
  <r>
    <x v="68"/>
    <n v="459.83"/>
    <n v="460.36"/>
    <n v="460.36"/>
    <n v="460.33"/>
    <n v="-1E-4"/>
    <x v="0"/>
    <x v="3"/>
    <n v="4"/>
    <x v="3"/>
    <n v="14"/>
    <x v="60"/>
    <s v="Thu"/>
  </r>
  <r>
    <x v="69"/>
    <n v="459.83"/>
    <n v="460.33"/>
    <n v="460.33"/>
    <n v="460.33"/>
    <n v="0"/>
    <x v="0"/>
    <x v="3"/>
    <n v="4"/>
    <x v="3"/>
    <n v="14"/>
    <x v="61"/>
    <s v="Fri"/>
  </r>
  <r>
    <x v="70"/>
    <n v="459.83"/>
    <n v="460.33"/>
    <n v="460.33"/>
    <n v="460.32"/>
    <n v="0"/>
    <x v="0"/>
    <x v="3"/>
    <n v="4"/>
    <x v="3"/>
    <n v="15"/>
    <x v="62"/>
    <s v="Mon"/>
  </r>
  <r>
    <x v="71"/>
    <n v="459.83"/>
    <n v="460.33"/>
    <n v="460.5"/>
    <n v="460.33"/>
    <n v="0"/>
    <x v="0"/>
    <x v="3"/>
    <n v="4"/>
    <x v="3"/>
    <n v="15"/>
    <x v="63"/>
    <s v="Tue"/>
  </r>
  <r>
    <x v="72"/>
    <n v="459.83"/>
    <n v="460.33"/>
    <n v="460.33"/>
    <n v="460.33"/>
    <n v="0"/>
    <x v="0"/>
    <x v="3"/>
    <n v="4"/>
    <x v="3"/>
    <n v="15"/>
    <x v="63"/>
    <s v="Wed"/>
  </r>
  <r>
    <x v="73"/>
    <n v="459.93"/>
    <n v="460.33"/>
    <n v="460.43"/>
    <n v="460.32"/>
    <n v="2.0000000000000001E-4"/>
    <x v="0"/>
    <x v="3"/>
    <n v="4"/>
    <x v="3"/>
    <n v="15"/>
    <x v="27"/>
    <s v="Thu"/>
  </r>
  <r>
    <x v="74"/>
    <n v="459.93"/>
    <n v="460.43"/>
    <n v="460.43"/>
    <n v="460.42"/>
    <n v="0"/>
    <x v="0"/>
    <x v="3"/>
    <n v="4"/>
    <x v="3"/>
    <n v="15"/>
    <x v="21"/>
    <s v="Fri"/>
  </r>
  <r>
    <x v="75"/>
    <n v="459.92"/>
    <n v="460.43"/>
    <n v="460.5"/>
    <n v="460.42"/>
    <n v="0"/>
    <x v="0"/>
    <x v="3"/>
    <n v="4"/>
    <x v="3"/>
    <n v="16"/>
    <x v="64"/>
    <s v="Mon"/>
  </r>
  <r>
    <x v="76"/>
    <n v="459.91"/>
    <n v="460.42"/>
    <n v="460.42"/>
    <n v="460.41"/>
    <n v="0"/>
    <x v="0"/>
    <x v="3"/>
    <n v="4"/>
    <x v="3"/>
    <n v="16"/>
    <x v="65"/>
    <s v="Tue"/>
  </r>
  <r>
    <x v="77"/>
    <n v="460.03"/>
    <n v="460.41"/>
    <n v="460.53"/>
    <n v="460.32"/>
    <n v="2.9999999999999997E-4"/>
    <x v="0"/>
    <x v="3"/>
    <n v="4"/>
    <x v="3"/>
    <n v="16"/>
    <x v="66"/>
    <s v="Wed"/>
  </r>
  <r>
    <x v="78"/>
    <n v="460.03"/>
    <n v="460.53"/>
    <n v="460.53"/>
    <n v="460.52"/>
    <n v="0"/>
    <x v="0"/>
    <x v="3"/>
    <n v="4"/>
    <x v="3"/>
    <n v="16"/>
    <x v="67"/>
    <s v="Thu"/>
  </r>
  <r>
    <x v="79"/>
    <n v="460.03"/>
    <n v="460.53"/>
    <n v="460.54"/>
    <n v="460.53"/>
    <n v="0"/>
    <x v="0"/>
    <x v="3"/>
    <n v="4"/>
    <x v="3"/>
    <n v="16"/>
    <x v="42"/>
    <s v="Fri"/>
  </r>
  <r>
    <x v="80"/>
    <n v="460.03"/>
    <n v="460.53"/>
    <n v="460.53"/>
    <n v="459.97"/>
    <n v="0"/>
    <x v="0"/>
    <x v="3"/>
    <n v="4"/>
    <x v="3"/>
    <n v="17"/>
    <x v="68"/>
    <s v="Mon"/>
  </r>
  <r>
    <x v="81"/>
    <n v="460.03"/>
    <n v="460.53"/>
    <n v="460.53"/>
    <n v="460.52"/>
    <n v="0"/>
    <x v="0"/>
    <x v="3"/>
    <n v="4"/>
    <x v="3"/>
    <n v="17"/>
    <x v="69"/>
    <s v="Tue"/>
  </r>
  <r>
    <x v="82"/>
    <n v="459.97"/>
    <n v="460.53"/>
    <n v="460.53"/>
    <n v="460.47"/>
    <n v="-1E-4"/>
    <x v="0"/>
    <x v="3"/>
    <n v="4"/>
    <x v="3"/>
    <n v="17"/>
    <x v="70"/>
    <s v="Wed"/>
  </r>
  <r>
    <x v="83"/>
    <n v="459.97"/>
    <n v="460.47"/>
    <n v="460.5"/>
    <n v="460.45"/>
    <n v="0"/>
    <x v="0"/>
    <x v="3"/>
    <n v="4"/>
    <x v="3"/>
    <n v="17"/>
    <x v="71"/>
    <s v="Thu"/>
  </r>
  <r>
    <x v="84"/>
    <n v="459.97"/>
    <n v="460.47"/>
    <n v="460.5"/>
    <n v="460.45"/>
    <n v="0"/>
    <x v="0"/>
    <x v="3"/>
    <n v="4"/>
    <x v="3"/>
    <n v="17"/>
    <x v="72"/>
    <s v="Fri"/>
  </r>
  <r>
    <x v="85"/>
    <n v="459.87"/>
    <n v="460.47"/>
    <n v="460.48"/>
    <n v="460.37"/>
    <n v="-2.0000000000000001E-4"/>
    <x v="0"/>
    <x v="4"/>
    <n v="5"/>
    <x v="4"/>
    <n v="18"/>
    <x v="73"/>
    <s v="Mon"/>
  </r>
  <r>
    <x v="86"/>
    <n v="459.81"/>
    <n v="460.37"/>
    <n v="460.5"/>
    <n v="460.31"/>
    <n v="-1E-4"/>
    <x v="0"/>
    <x v="4"/>
    <n v="5"/>
    <x v="4"/>
    <n v="18"/>
    <x v="74"/>
    <s v="Tue"/>
  </r>
  <r>
    <x v="87"/>
    <n v="459.85"/>
    <n v="460.31"/>
    <n v="460.35"/>
    <n v="460.3"/>
    <n v="1E-4"/>
    <x v="0"/>
    <x v="4"/>
    <n v="5"/>
    <x v="4"/>
    <n v="18"/>
    <x v="75"/>
    <s v="Wed"/>
  </r>
  <r>
    <x v="88"/>
    <n v="459.84"/>
    <n v="460.35"/>
    <n v="460.35"/>
    <n v="460.32"/>
    <n v="0"/>
    <x v="0"/>
    <x v="4"/>
    <n v="5"/>
    <x v="4"/>
    <n v="18"/>
    <x v="76"/>
    <s v="Thu"/>
  </r>
  <r>
    <x v="89"/>
    <n v="459.87"/>
    <n v="460.34"/>
    <n v="460.37"/>
    <n v="460.33"/>
    <n v="1E-4"/>
    <x v="0"/>
    <x v="4"/>
    <n v="5"/>
    <x v="4"/>
    <n v="18"/>
    <x v="65"/>
    <s v="Fri"/>
  </r>
  <r>
    <x v="90"/>
    <n v="460"/>
    <n v="460.37"/>
    <n v="461.5"/>
    <n v="460.35"/>
    <n v="2.9999999999999997E-4"/>
    <x v="0"/>
    <x v="4"/>
    <n v="5"/>
    <x v="4"/>
    <n v="19"/>
    <x v="77"/>
    <s v="Mon"/>
  </r>
  <r>
    <x v="91"/>
    <n v="459.94"/>
    <n v="460.5"/>
    <n v="460.52"/>
    <n v="460.44"/>
    <n v="-1E-4"/>
    <x v="0"/>
    <x v="4"/>
    <n v="5"/>
    <x v="4"/>
    <n v="19"/>
    <x v="78"/>
    <s v="Tue"/>
  </r>
  <r>
    <x v="92"/>
    <n v="460.06"/>
    <n v="460.44"/>
    <n v="460.56"/>
    <n v="460.43"/>
    <n v="2.9999999999999997E-4"/>
    <x v="0"/>
    <x v="4"/>
    <n v="5"/>
    <x v="4"/>
    <n v="19"/>
    <x v="79"/>
    <s v="Wed"/>
  </r>
  <r>
    <x v="93"/>
    <n v="460.07"/>
    <n v="460.56"/>
    <n v="462.5"/>
    <n v="460.55"/>
    <n v="0"/>
    <x v="0"/>
    <x v="4"/>
    <n v="5"/>
    <x v="4"/>
    <n v="19"/>
    <x v="80"/>
    <s v="Thu"/>
  </r>
  <r>
    <x v="94"/>
    <n v="460.03"/>
    <n v="460.57"/>
    <n v="460.57"/>
    <n v="460.53"/>
    <n v="-1E-4"/>
    <x v="0"/>
    <x v="4"/>
    <n v="5"/>
    <x v="4"/>
    <n v="19"/>
    <x v="81"/>
    <s v="Fri"/>
  </r>
  <r>
    <x v="95"/>
    <n v="460.03"/>
    <n v="460.53"/>
    <n v="462.5"/>
    <n v="460.52"/>
    <n v="0"/>
    <x v="0"/>
    <x v="4"/>
    <n v="5"/>
    <x v="4"/>
    <n v="20"/>
    <x v="46"/>
    <s v="Mon"/>
  </r>
  <r>
    <x v="96"/>
    <n v="460.07"/>
    <n v="460.53"/>
    <n v="460.57"/>
    <n v="460.5"/>
    <n v="1E-4"/>
    <x v="0"/>
    <x v="4"/>
    <n v="5"/>
    <x v="4"/>
    <n v="20"/>
    <x v="82"/>
    <s v="Tue"/>
  </r>
  <r>
    <x v="97"/>
    <n v="460.2"/>
    <n v="460.57"/>
    <n v="460.7"/>
    <n v="460.57"/>
    <n v="2.9999999999999997E-4"/>
    <x v="0"/>
    <x v="4"/>
    <n v="5"/>
    <x v="4"/>
    <n v="20"/>
    <x v="83"/>
    <s v="Wed"/>
  </r>
  <r>
    <x v="98"/>
    <n v="460.36"/>
    <n v="460.7"/>
    <n v="460.86"/>
    <n v="460.7"/>
    <n v="2.9999999999999997E-4"/>
    <x v="0"/>
    <x v="4"/>
    <n v="5"/>
    <x v="4"/>
    <n v="20"/>
    <x v="84"/>
    <s v="Thu"/>
  </r>
  <r>
    <x v="99"/>
    <n v="460.34"/>
    <n v="460.86"/>
    <n v="463.5"/>
    <n v="460.84"/>
    <n v="0"/>
    <x v="0"/>
    <x v="4"/>
    <n v="5"/>
    <x v="4"/>
    <n v="20"/>
    <x v="85"/>
    <s v="Fri"/>
  </r>
  <r>
    <x v="100"/>
    <n v="460.31"/>
    <n v="460.84"/>
    <n v="463.5"/>
    <n v="460.81"/>
    <n v="-1E-4"/>
    <x v="0"/>
    <x v="4"/>
    <n v="5"/>
    <x v="4"/>
    <n v="21"/>
    <x v="86"/>
    <s v="Mon"/>
  </r>
  <r>
    <x v="101"/>
    <n v="460.28"/>
    <n v="460.81"/>
    <n v="460.81"/>
    <n v="460.78"/>
    <n v="-1E-4"/>
    <x v="0"/>
    <x v="4"/>
    <n v="5"/>
    <x v="4"/>
    <n v="21"/>
    <x v="87"/>
    <s v="Tue"/>
  </r>
  <r>
    <x v="102"/>
    <n v="460.28"/>
    <n v="460.78"/>
    <n v="465.5"/>
    <n v="460.5"/>
    <n v="0"/>
    <x v="0"/>
    <x v="4"/>
    <n v="5"/>
    <x v="4"/>
    <n v="21"/>
    <x v="88"/>
    <s v="Wed"/>
  </r>
  <r>
    <x v="103"/>
    <n v="460.31"/>
    <n v="460.78"/>
    <n v="464.5"/>
    <n v="460.75"/>
    <n v="1E-4"/>
    <x v="0"/>
    <x v="4"/>
    <n v="5"/>
    <x v="4"/>
    <n v="21"/>
    <x v="89"/>
    <s v="Thu"/>
  </r>
  <r>
    <x v="104"/>
    <n v="460.3"/>
    <n v="460.81"/>
    <n v="460.81"/>
    <n v="460.8"/>
    <n v="0"/>
    <x v="0"/>
    <x v="4"/>
    <n v="5"/>
    <x v="4"/>
    <n v="21"/>
    <x v="90"/>
    <s v="Fri"/>
  </r>
  <r>
    <x v="105"/>
    <n v="460.25"/>
    <n v="460.75"/>
    <n v="460.75"/>
    <n v="460.75"/>
    <n v="-1E-4"/>
    <x v="0"/>
    <x v="4"/>
    <n v="5"/>
    <x v="4"/>
    <n v="22"/>
    <x v="91"/>
    <s v="Mon"/>
  </r>
  <r>
    <x v="106"/>
    <n v="460.45"/>
    <n v="460.75"/>
    <n v="464.5"/>
    <n v="460.71"/>
    <n v="4.0000000000000002E-4"/>
    <x v="0"/>
    <x v="4"/>
    <n v="5"/>
    <x v="4"/>
    <n v="22"/>
    <x v="90"/>
    <s v="Tue"/>
  </r>
  <r>
    <x v="107"/>
    <n v="460.6"/>
    <n v="460.95"/>
    <n v="461.1"/>
    <n v="460.95"/>
    <n v="2.9999999999999997E-4"/>
    <x v="0"/>
    <x v="4"/>
    <n v="5"/>
    <x v="4"/>
    <n v="22"/>
    <x v="92"/>
    <s v="Wed"/>
  </r>
  <r>
    <x v="108"/>
    <n v="460.76"/>
    <n v="461.1"/>
    <n v="465.5"/>
    <n v="461.1"/>
    <n v="2.9999999999999997E-4"/>
    <x v="0"/>
    <x v="5"/>
    <n v="6"/>
    <x v="5"/>
    <n v="22"/>
    <x v="93"/>
    <s v="Thu"/>
  </r>
  <r>
    <x v="109"/>
    <n v="460.92"/>
    <n v="461.26"/>
    <n v="461.42"/>
    <n v="461.25"/>
    <n v="2.9999999999999997E-4"/>
    <x v="0"/>
    <x v="5"/>
    <n v="6"/>
    <x v="5"/>
    <n v="22"/>
    <x v="94"/>
    <s v="Fri"/>
  </r>
  <r>
    <x v="110"/>
    <n v="461.05"/>
    <n v="461.42"/>
    <n v="464.5"/>
    <n v="460.5"/>
    <n v="2.9999999999999997E-4"/>
    <x v="0"/>
    <x v="5"/>
    <n v="6"/>
    <x v="5"/>
    <n v="23"/>
    <x v="95"/>
    <s v="Mon"/>
  </r>
  <r>
    <x v="111"/>
    <n v="461.18"/>
    <n v="461.55"/>
    <n v="466"/>
    <n v="461.52"/>
    <n v="2.9999999999999997E-4"/>
    <x v="0"/>
    <x v="5"/>
    <n v="6"/>
    <x v="5"/>
    <n v="23"/>
    <x v="96"/>
    <s v="Tue"/>
  </r>
  <r>
    <x v="112"/>
    <n v="461.18"/>
    <n v="461.68"/>
    <n v="474.5"/>
    <n v="461.65"/>
    <n v="0"/>
    <x v="0"/>
    <x v="5"/>
    <n v="6"/>
    <x v="5"/>
    <n v="23"/>
    <x v="97"/>
    <s v="Wed"/>
  </r>
  <r>
    <x v="113"/>
    <n v="461.67"/>
    <n v="461.68"/>
    <n v="466"/>
    <n v="461.68"/>
    <n v="1.1000000000000001E-3"/>
    <x v="0"/>
    <x v="5"/>
    <n v="6"/>
    <x v="5"/>
    <n v="23"/>
    <x v="98"/>
    <s v="Thu"/>
  </r>
  <r>
    <x v="114"/>
    <n v="461.9"/>
    <n v="462.17"/>
    <n v="466"/>
    <n v="462.17"/>
    <n v="5.0000000000000001E-4"/>
    <x v="0"/>
    <x v="5"/>
    <n v="6"/>
    <x v="5"/>
    <n v="23"/>
    <x v="99"/>
    <s v="Fri"/>
  </r>
  <r>
    <x v="115"/>
    <n v="461.9"/>
    <n v="462.4"/>
    <n v="462.45"/>
    <n v="462.4"/>
    <n v="0"/>
    <x v="0"/>
    <x v="5"/>
    <n v="6"/>
    <x v="5"/>
    <n v="24"/>
    <x v="100"/>
    <s v="Mon"/>
  </r>
  <r>
    <x v="116"/>
    <n v="462.38"/>
    <n v="462.4"/>
    <n v="474.5"/>
    <n v="462.38"/>
    <n v="1E-3"/>
    <x v="0"/>
    <x v="5"/>
    <n v="6"/>
    <x v="5"/>
    <n v="24"/>
    <x v="101"/>
    <s v="Tue"/>
  </r>
  <r>
    <x v="117"/>
    <n v="620.20000000000005"/>
    <n v="462.88"/>
    <n v="665"/>
    <n v="462.88"/>
    <n v="0.34129999999999999"/>
    <x v="0"/>
    <x v="5"/>
    <n v="6"/>
    <x v="5"/>
    <n v="24"/>
    <x v="102"/>
    <s v="Wed"/>
  </r>
  <r>
    <x v="118"/>
    <n v="620.5"/>
    <n v="620.20000000000005"/>
    <n v="659"/>
    <n v="600.5"/>
    <n v="5.0000000000000001E-4"/>
    <x v="0"/>
    <x v="5"/>
    <n v="6"/>
    <x v="5"/>
    <n v="24"/>
    <x v="103"/>
    <s v="Thu"/>
  </r>
  <r>
    <x v="119"/>
    <n v="655"/>
    <n v="620.5"/>
    <n v="665.5"/>
    <n v="590.95000000000005"/>
    <n v="5.5599999999999997E-2"/>
    <x v="0"/>
    <x v="5"/>
    <n v="6"/>
    <x v="5"/>
    <n v="24"/>
    <x v="104"/>
    <s v="Fri"/>
  </r>
  <r>
    <x v="120"/>
    <n v="686.96"/>
    <n v="656.5"/>
    <n v="687.46"/>
    <n v="650.5"/>
    <n v="4.8800000000000003E-2"/>
    <x v="0"/>
    <x v="5"/>
    <n v="6"/>
    <x v="5"/>
    <n v="25"/>
    <x v="105"/>
    <s v="Mon"/>
  </r>
  <r>
    <x v="121"/>
    <n v="689"/>
    <n v="680"/>
    <n v="691"/>
    <n v="680"/>
    <n v="3.0000000000000001E-3"/>
    <x v="0"/>
    <x v="5"/>
    <n v="6"/>
    <x v="5"/>
    <n v="25"/>
    <x v="106"/>
    <s v="Tue"/>
  </r>
  <r>
    <x v="122"/>
    <n v="745"/>
    <n v="690.5"/>
    <n v="750"/>
    <n v="690.5"/>
    <n v="8.1299999999999997E-2"/>
    <x v="0"/>
    <x v="5"/>
    <n v="6"/>
    <x v="5"/>
    <n v="25"/>
    <x v="107"/>
    <s v="Wed"/>
  </r>
  <r>
    <x v="123"/>
    <n v="745"/>
    <n v="746.5"/>
    <n v="752"/>
    <n v="730.5"/>
    <n v="0"/>
    <x v="0"/>
    <x v="5"/>
    <n v="6"/>
    <x v="5"/>
    <n v="25"/>
    <x v="108"/>
    <s v="Thu"/>
  </r>
  <r>
    <x v="124"/>
    <n v="760"/>
    <n v="760"/>
    <n v="765.5"/>
    <n v="733.29"/>
    <n v="2.01E-2"/>
    <x v="0"/>
    <x v="5"/>
    <n v="6"/>
    <x v="5"/>
    <n v="25"/>
    <x v="109"/>
    <s v="Fri"/>
  </r>
  <r>
    <x v="125"/>
    <n v="742.25"/>
    <n v="761.5"/>
    <n v="770.5"/>
    <n v="743.75"/>
    <n v="-2.3400000000000001E-2"/>
    <x v="0"/>
    <x v="5"/>
    <n v="6"/>
    <x v="5"/>
    <n v="26"/>
    <x v="110"/>
    <s v="Mon"/>
  </r>
  <r>
    <x v="126"/>
    <n v="763.05"/>
    <n v="743.75"/>
    <n v="765.52499999999998"/>
    <n v="743.75"/>
    <n v="2.8000000000000001E-2"/>
    <x v="0"/>
    <x v="5"/>
    <n v="6"/>
    <x v="5"/>
    <n v="26"/>
    <x v="111"/>
    <s v="Tue"/>
  </r>
  <r>
    <x v="127"/>
    <n v="752.95"/>
    <n v="764.55"/>
    <n v="764.55"/>
    <n v="753.97500000000002"/>
    <n v="-1.32E-2"/>
    <x v="0"/>
    <x v="5"/>
    <n v="6"/>
    <x v="5"/>
    <n v="26"/>
    <x v="112"/>
    <s v="Wed"/>
  </r>
  <r>
    <x v="128"/>
    <n v="752.94"/>
    <n v="754.45"/>
    <n v="754.97500000000002"/>
    <n v="753.97"/>
    <n v="0"/>
    <x v="0"/>
    <x v="5"/>
    <n v="6"/>
    <x v="5"/>
    <n v="26"/>
    <x v="113"/>
    <s v="Thu"/>
  </r>
  <r>
    <x v="129"/>
    <n v="758.77"/>
    <n v="754.44"/>
    <n v="775.5"/>
    <n v="753.97"/>
    <n v="7.7000000000000002E-3"/>
    <x v="0"/>
    <x v="5"/>
    <n v="6"/>
    <x v="5"/>
    <n v="26"/>
    <x v="114"/>
    <s v="Fri"/>
  </r>
  <r>
    <x v="130"/>
    <n v="769.88"/>
    <n v="760.27"/>
    <n v="775.5"/>
    <n v="756.5"/>
    <n v="1.46E-2"/>
    <x v="0"/>
    <x v="6"/>
    <n v="7"/>
    <x v="6"/>
    <n v="27"/>
    <x v="115"/>
    <s v="Mon"/>
  </r>
  <r>
    <x v="131"/>
    <n v="769.88"/>
    <n v="770.5"/>
    <n v="775.5"/>
    <n v="765.5"/>
    <n v="0"/>
    <x v="0"/>
    <x v="6"/>
    <n v="7"/>
    <x v="6"/>
    <n v="27"/>
    <x v="116"/>
    <s v="Tue"/>
  </r>
  <r>
    <x v="132"/>
    <n v="772"/>
    <n v="771.38"/>
    <n v="776.5"/>
    <n v="771.38"/>
    <n v="2.8E-3"/>
    <x v="0"/>
    <x v="6"/>
    <n v="7"/>
    <x v="6"/>
    <n v="27"/>
    <x v="117"/>
    <s v="Wed"/>
  </r>
  <r>
    <x v="133"/>
    <n v="774"/>
    <n v="773.5"/>
    <n v="776"/>
    <n v="765.5"/>
    <n v="2.5999999999999999E-3"/>
    <x v="0"/>
    <x v="6"/>
    <n v="7"/>
    <x v="6"/>
    <n v="27"/>
    <x v="118"/>
    <s v="Thu"/>
  </r>
  <r>
    <x v="134"/>
    <n v="768"/>
    <n v="775.5"/>
    <n v="776"/>
    <n v="765.5"/>
    <n v="-7.7999999999999996E-3"/>
    <x v="0"/>
    <x v="6"/>
    <n v="7"/>
    <x v="6"/>
    <n v="27"/>
    <x v="119"/>
    <s v="Fri"/>
  </r>
  <r>
    <x v="135"/>
    <n v="789"/>
    <n v="768.5"/>
    <n v="790"/>
    <n v="768.5"/>
    <n v="2.7300000000000001E-2"/>
    <x v="0"/>
    <x v="6"/>
    <n v="7"/>
    <x v="6"/>
    <n v="28"/>
    <x v="120"/>
    <s v="Mon"/>
  </r>
  <r>
    <x v="136"/>
    <n v="779"/>
    <n v="787.65"/>
    <n v="790.5"/>
    <n v="760.5"/>
    <n v="-1.2699999999999999E-2"/>
    <x v="0"/>
    <x v="6"/>
    <n v="7"/>
    <x v="6"/>
    <n v="28"/>
    <x v="121"/>
    <s v="Tue"/>
  </r>
  <r>
    <x v="137"/>
    <n v="775"/>
    <n v="780.5"/>
    <n v="790.5"/>
    <n v="760"/>
    <n v="-5.1000000000000004E-3"/>
    <x v="0"/>
    <x v="6"/>
    <n v="7"/>
    <x v="6"/>
    <n v="28"/>
    <x v="122"/>
    <s v="Wed"/>
  </r>
  <r>
    <x v="138"/>
    <n v="776"/>
    <n v="776.5"/>
    <n v="799.5"/>
    <n v="776.5"/>
    <n v="1.2999999999999999E-3"/>
    <x v="0"/>
    <x v="6"/>
    <n v="7"/>
    <x v="6"/>
    <n v="28"/>
    <x v="123"/>
    <s v="Thu"/>
  </r>
  <r>
    <x v="139"/>
    <n v="775"/>
    <n v="777.5"/>
    <n v="777.5"/>
    <n v="776.5"/>
    <n v="-1.2999999999999999E-3"/>
    <x v="0"/>
    <x v="6"/>
    <n v="7"/>
    <x v="6"/>
    <n v="28"/>
    <x v="124"/>
    <s v="Fri"/>
  </r>
  <r>
    <x v="140"/>
    <n v="774.67"/>
    <n v="776.5"/>
    <n v="776.5"/>
    <n v="775.5"/>
    <n v="-4.0000000000000002E-4"/>
    <x v="0"/>
    <x v="6"/>
    <n v="7"/>
    <x v="6"/>
    <n v="29"/>
    <x v="125"/>
    <s v="Mon"/>
  </r>
  <r>
    <x v="141"/>
    <n v="788"/>
    <n v="776.17"/>
    <n v="791.3"/>
    <n v="773.31"/>
    <n v="1.72E-2"/>
    <x v="0"/>
    <x v="6"/>
    <n v="7"/>
    <x v="6"/>
    <n v="29"/>
    <x v="126"/>
    <s v="Tue"/>
  </r>
  <r>
    <x v="142"/>
    <n v="781.31"/>
    <n v="773.31"/>
    <n v="799.5"/>
    <n v="773.31"/>
    <n v="-8.5000000000000006E-3"/>
    <x v="0"/>
    <x v="6"/>
    <n v="7"/>
    <x v="6"/>
    <n v="29"/>
    <x v="127"/>
    <s v="Wed"/>
  </r>
  <r>
    <x v="143"/>
    <n v="789.51"/>
    <n v="782.81"/>
    <n v="791.5"/>
    <n v="775.5"/>
    <n v="1.0500000000000001E-2"/>
    <x v="0"/>
    <x v="6"/>
    <n v="7"/>
    <x v="6"/>
    <n v="29"/>
    <x v="128"/>
    <s v="Thu"/>
  </r>
  <r>
    <x v="144"/>
    <n v="774.5"/>
    <n v="791.01"/>
    <n v="792.5"/>
    <n v="775.25"/>
    <n v="-1.9E-2"/>
    <x v="0"/>
    <x v="6"/>
    <n v="7"/>
    <x v="6"/>
    <n v="29"/>
    <x v="129"/>
    <s v="Fri"/>
  </r>
  <r>
    <x v="145"/>
    <n v="791.82"/>
    <n v="776"/>
    <n v="793.41"/>
    <n v="776"/>
    <n v="2.24E-2"/>
    <x v="0"/>
    <x v="6"/>
    <n v="7"/>
    <x v="6"/>
    <n v="30"/>
    <x v="130"/>
    <s v="Mon"/>
  </r>
  <r>
    <x v="146"/>
    <n v="791.82"/>
    <n v="793.32"/>
    <n v="793.32"/>
    <n v="780.5"/>
    <n v="0"/>
    <x v="0"/>
    <x v="6"/>
    <n v="7"/>
    <x v="6"/>
    <n v="30"/>
    <x v="131"/>
    <s v="Tue"/>
  </r>
  <r>
    <x v="147"/>
    <n v="787.92"/>
    <n v="793.32"/>
    <n v="793.32"/>
    <n v="789.42"/>
    <n v="-4.8999999999999998E-3"/>
    <x v="0"/>
    <x v="6"/>
    <n v="7"/>
    <x v="6"/>
    <n v="30"/>
    <x v="132"/>
    <s v="Wed"/>
  </r>
  <r>
    <x v="148"/>
    <n v="774"/>
    <n v="789.42"/>
    <n v="790"/>
    <n v="764.5"/>
    <n v="-1.77E-2"/>
    <x v="0"/>
    <x v="6"/>
    <n v="7"/>
    <x v="6"/>
    <n v="30"/>
    <x v="133"/>
    <s v="Thu"/>
  </r>
  <r>
    <x v="149"/>
    <n v="774.28"/>
    <n v="775.5"/>
    <n v="790"/>
    <n v="775.5"/>
    <n v="4.0000000000000002E-4"/>
    <x v="0"/>
    <x v="6"/>
    <n v="7"/>
    <x v="6"/>
    <n v="30"/>
    <x v="134"/>
    <s v="Fri"/>
  </r>
  <r>
    <x v="150"/>
    <n v="758.9"/>
    <n v="775.78"/>
    <n v="792.5"/>
    <n v="759.95"/>
    <n v="-1.9900000000000001E-2"/>
    <x v="0"/>
    <x v="6"/>
    <n v="7"/>
    <x v="6"/>
    <n v="31"/>
    <x v="135"/>
    <s v="Mon"/>
  </r>
  <r>
    <x v="151"/>
    <n v="757.02"/>
    <n v="760.4"/>
    <n v="771.55"/>
    <n v="745.5"/>
    <n v="-2.5000000000000001E-3"/>
    <x v="0"/>
    <x v="7"/>
    <n v="8"/>
    <x v="7"/>
    <n v="31"/>
    <x v="136"/>
    <s v="Tue"/>
  </r>
  <r>
    <x v="152"/>
    <n v="777"/>
    <n v="758.52"/>
    <n v="778.5"/>
    <n v="752.5"/>
    <n v="2.64E-2"/>
    <x v="0"/>
    <x v="7"/>
    <n v="8"/>
    <x v="7"/>
    <n v="31"/>
    <x v="137"/>
    <s v="Wed"/>
  </r>
  <r>
    <x v="153"/>
    <n v="777"/>
    <n v="776.36"/>
    <n v="792.5"/>
    <n v="760.5"/>
    <n v="0"/>
    <x v="0"/>
    <x v="7"/>
    <n v="8"/>
    <x v="7"/>
    <n v="31"/>
    <x v="138"/>
    <s v="Thu"/>
  </r>
  <r>
    <x v="154"/>
    <n v="765.95"/>
    <n v="777.5"/>
    <n v="778"/>
    <n v="767.45"/>
    <n v="-1.4200000000000001E-2"/>
    <x v="0"/>
    <x v="7"/>
    <n v="8"/>
    <x v="7"/>
    <n v="31"/>
    <x v="139"/>
    <s v="Fri"/>
  </r>
  <r>
    <x v="155"/>
    <n v="749.62"/>
    <n v="767.45"/>
    <n v="787.5"/>
    <n v="751.12"/>
    <n v="-2.1299999999999999E-2"/>
    <x v="0"/>
    <x v="7"/>
    <n v="8"/>
    <x v="7"/>
    <n v="32"/>
    <x v="140"/>
    <s v="Mon"/>
  </r>
  <r>
    <x v="156"/>
    <n v="761.44"/>
    <n v="751.12"/>
    <n v="762.94"/>
    <n v="751.12"/>
    <n v="1.5800000000000002E-2"/>
    <x v="0"/>
    <x v="7"/>
    <n v="8"/>
    <x v="7"/>
    <n v="32"/>
    <x v="141"/>
    <s v="Tue"/>
  </r>
  <r>
    <x v="157"/>
    <n v="767.77"/>
    <n v="762.94"/>
    <n v="769.27"/>
    <n v="762.94"/>
    <n v="8.3000000000000001E-3"/>
    <x v="0"/>
    <x v="7"/>
    <n v="8"/>
    <x v="7"/>
    <n v="32"/>
    <x v="142"/>
    <s v="Wed"/>
  </r>
  <r>
    <x v="158"/>
    <n v="767.77"/>
    <n v="769.27"/>
    <n v="769.27"/>
    <n v="769.27"/>
    <n v="0"/>
    <x v="0"/>
    <x v="7"/>
    <n v="8"/>
    <x v="7"/>
    <n v="32"/>
    <x v="143"/>
    <s v="Thu"/>
  </r>
  <r>
    <x v="159"/>
    <n v="767.77"/>
    <n v="769.27"/>
    <n v="769.27"/>
    <n v="769.27"/>
    <n v="0"/>
    <x v="0"/>
    <x v="7"/>
    <n v="8"/>
    <x v="7"/>
    <n v="32"/>
    <x v="144"/>
    <s v="Fri"/>
  </r>
  <r>
    <x v="160"/>
    <n v="766"/>
    <n v="769.27"/>
    <n v="770.38499999999999"/>
    <n v="766.4"/>
    <n v="-2.3E-3"/>
    <x v="0"/>
    <x v="7"/>
    <n v="8"/>
    <x v="7"/>
    <n v="33"/>
    <x v="145"/>
    <s v="Mon"/>
  </r>
  <r>
    <x v="161"/>
    <n v="759"/>
    <n v="766.4"/>
    <n v="766.4"/>
    <n v="755.5"/>
    <n v="-9.1000000000000004E-3"/>
    <x v="0"/>
    <x v="7"/>
    <n v="8"/>
    <x v="7"/>
    <n v="33"/>
    <x v="146"/>
    <s v="Tue"/>
  </r>
  <r>
    <x v="162"/>
    <n v="784.39"/>
    <n v="760.5"/>
    <n v="785.89"/>
    <n v="760.5"/>
    <n v="3.3500000000000002E-2"/>
    <x v="0"/>
    <x v="7"/>
    <n v="8"/>
    <x v="7"/>
    <n v="33"/>
    <x v="147"/>
    <s v="Wed"/>
  </r>
  <r>
    <x v="163"/>
    <n v="766.47"/>
    <n v="785.89"/>
    <n v="785.89"/>
    <n v="761.5"/>
    <n v="-2.2800000000000001E-2"/>
    <x v="0"/>
    <x v="7"/>
    <n v="8"/>
    <x v="7"/>
    <n v="33"/>
    <x v="148"/>
    <s v="Thu"/>
  </r>
  <r>
    <x v="164"/>
    <n v="744.93"/>
    <n v="767.97"/>
    <n v="769.5"/>
    <n v="746.43"/>
    <n v="-2.81E-2"/>
    <x v="0"/>
    <x v="7"/>
    <n v="8"/>
    <x v="7"/>
    <n v="33"/>
    <x v="149"/>
    <s v="Fri"/>
  </r>
  <r>
    <x v="165"/>
    <n v="743.64"/>
    <n v="746.43"/>
    <n v="769.5"/>
    <n v="745.14"/>
    <n v="-1.6999999999999999E-3"/>
    <x v="0"/>
    <x v="7"/>
    <n v="8"/>
    <x v="7"/>
    <n v="34"/>
    <x v="150"/>
    <s v="Mon"/>
  </r>
  <r>
    <x v="166"/>
    <n v="760.79"/>
    <n v="745.14"/>
    <n v="769.5"/>
    <n v="745.14"/>
    <n v="2.3099999999999999E-2"/>
    <x v="0"/>
    <x v="7"/>
    <n v="8"/>
    <x v="7"/>
    <n v="34"/>
    <x v="151"/>
    <s v="Tue"/>
  </r>
  <r>
    <x v="167"/>
    <n v="755.27"/>
    <n v="762.29"/>
    <n v="762.29"/>
    <n v="756.77"/>
    <n v="-7.3000000000000001E-3"/>
    <x v="0"/>
    <x v="7"/>
    <n v="8"/>
    <x v="7"/>
    <n v="34"/>
    <x v="152"/>
    <s v="Wed"/>
  </r>
  <r>
    <x v="168"/>
    <n v="754.21"/>
    <n v="756.77"/>
    <n v="773.5"/>
    <n v="755.10500000000002"/>
    <n v="-1.4E-3"/>
    <x v="0"/>
    <x v="7"/>
    <n v="8"/>
    <x v="7"/>
    <n v="34"/>
    <x v="153"/>
    <s v="Thu"/>
  </r>
  <r>
    <x v="169"/>
    <n v="770.84"/>
    <n v="755.71"/>
    <n v="774.5"/>
    <n v="740.5"/>
    <n v="2.1999999999999999E-2"/>
    <x v="0"/>
    <x v="7"/>
    <n v="8"/>
    <x v="7"/>
    <n v="34"/>
    <x v="154"/>
    <s v="Fri"/>
  </r>
  <r>
    <x v="170"/>
    <n v="773.9"/>
    <n v="772.34"/>
    <n v="774.4"/>
    <n v="771.34"/>
    <n v="4.0000000000000001E-3"/>
    <x v="0"/>
    <x v="7"/>
    <n v="8"/>
    <x v="7"/>
    <n v="35"/>
    <x v="155"/>
    <s v="Mon"/>
  </r>
  <r>
    <x v="171"/>
    <n v="771.97"/>
    <n v="774.4"/>
    <n v="774.4"/>
    <n v="760.5"/>
    <n v="-2.5000000000000001E-3"/>
    <x v="0"/>
    <x v="7"/>
    <n v="8"/>
    <x v="7"/>
    <n v="35"/>
    <x v="156"/>
    <s v="Tue"/>
  </r>
  <r>
    <x v="172"/>
    <n v="773"/>
    <n v="772.47"/>
    <n v="784.5"/>
    <n v="740.5"/>
    <n v="1.2999999999999999E-3"/>
    <x v="0"/>
    <x v="7"/>
    <n v="8"/>
    <x v="7"/>
    <n v="35"/>
    <x v="157"/>
    <s v="Wed"/>
  </r>
  <r>
    <x v="173"/>
    <n v="773"/>
    <n v="773.5"/>
    <n v="774.5"/>
    <n v="773.5"/>
    <n v="0"/>
    <x v="0"/>
    <x v="7"/>
    <n v="8"/>
    <x v="7"/>
    <n v="35"/>
    <x v="158"/>
    <s v="Thu"/>
  </r>
  <r>
    <x v="174"/>
    <n v="756.52"/>
    <n v="773.5"/>
    <n v="775.5"/>
    <n v="738.5"/>
    <n v="-2.1299999999999999E-2"/>
    <x v="0"/>
    <x v="8"/>
    <n v="9"/>
    <x v="8"/>
    <n v="35"/>
    <x v="159"/>
    <s v="Fri"/>
  </r>
  <r>
    <x v="175"/>
    <n v="756.52"/>
    <n v="757.02"/>
    <n v="757.02"/>
    <n v="757.02"/>
    <n v="0"/>
    <x v="0"/>
    <x v="8"/>
    <n v="9"/>
    <x v="8"/>
    <n v="36"/>
    <x v="160"/>
    <s v="Mon"/>
  </r>
  <r>
    <x v="176"/>
    <n v="760.53"/>
    <n v="757.02"/>
    <n v="765.5"/>
    <n v="744.5"/>
    <n v="5.3E-3"/>
    <x v="0"/>
    <x v="8"/>
    <n v="9"/>
    <x v="8"/>
    <n v="36"/>
    <x v="161"/>
    <s v="Tue"/>
  </r>
  <r>
    <x v="177"/>
    <n v="753"/>
    <n v="761.03"/>
    <n v="761.03"/>
    <n v="753.93"/>
    <n v="-9.9000000000000008E-3"/>
    <x v="0"/>
    <x v="8"/>
    <n v="9"/>
    <x v="8"/>
    <n v="36"/>
    <x v="162"/>
    <s v="Wed"/>
  </r>
  <r>
    <x v="178"/>
    <n v="784.53"/>
    <n v="754.36"/>
    <n v="785.03"/>
    <n v="754.36"/>
    <n v="4.19E-2"/>
    <x v="0"/>
    <x v="8"/>
    <n v="9"/>
    <x v="8"/>
    <n v="36"/>
    <x v="163"/>
    <s v="Thu"/>
  </r>
  <r>
    <x v="179"/>
    <n v="789"/>
    <n v="785.03"/>
    <n v="789.5"/>
    <n v="785.03"/>
    <n v="5.7000000000000002E-3"/>
    <x v="0"/>
    <x v="8"/>
    <n v="9"/>
    <x v="8"/>
    <n v="36"/>
    <x v="164"/>
    <s v="Fri"/>
  </r>
  <r>
    <x v="180"/>
    <n v="737.54"/>
    <n v="750.5"/>
    <n v="755"/>
    <n v="738.04"/>
    <n v="-6.5199999999999994E-2"/>
    <x v="0"/>
    <x v="8"/>
    <n v="9"/>
    <x v="8"/>
    <n v="37"/>
    <x v="165"/>
    <s v="Mon"/>
  </r>
  <r>
    <x v="181"/>
    <n v="770.33"/>
    <n v="738.04"/>
    <n v="770.83"/>
    <n v="738.04"/>
    <n v="4.4499999999999998E-2"/>
    <x v="0"/>
    <x v="8"/>
    <n v="9"/>
    <x v="8"/>
    <n v="37"/>
    <x v="166"/>
    <s v="Tue"/>
  </r>
  <r>
    <x v="182"/>
    <n v="746.18"/>
    <n v="770.83"/>
    <n v="770.83"/>
    <n v="744.5"/>
    <n v="-3.1399999999999997E-2"/>
    <x v="0"/>
    <x v="8"/>
    <n v="9"/>
    <x v="8"/>
    <n v="37"/>
    <x v="167"/>
    <s v="Wed"/>
  </r>
  <r>
    <x v="183"/>
    <n v="783"/>
    <n v="746.68"/>
    <n v="784.5"/>
    <n v="746.68"/>
    <n v="4.9299999999999997E-2"/>
    <x v="0"/>
    <x v="8"/>
    <n v="9"/>
    <x v="8"/>
    <n v="37"/>
    <x v="168"/>
    <s v="Thu"/>
  </r>
  <r>
    <x v="184"/>
    <n v="767.74"/>
    <n v="768.69"/>
    <n v="789.5"/>
    <n v="768.24"/>
    <n v="-1.95E-2"/>
    <x v="0"/>
    <x v="8"/>
    <n v="9"/>
    <x v="8"/>
    <n v="37"/>
    <x v="169"/>
    <s v="Fri"/>
  </r>
  <r>
    <x v="185"/>
    <n v="759.93"/>
    <n v="768.24"/>
    <n v="789.5"/>
    <n v="760.43"/>
    <n v="-1.0200000000000001E-2"/>
    <x v="0"/>
    <x v="8"/>
    <n v="9"/>
    <x v="8"/>
    <n v="38"/>
    <x v="170"/>
    <s v="Mon"/>
  </r>
  <r>
    <x v="186"/>
    <n v="775.33"/>
    <n v="760.43"/>
    <n v="789.5"/>
    <n v="760.43"/>
    <n v="2.0299999999999999E-2"/>
    <x v="0"/>
    <x v="8"/>
    <n v="9"/>
    <x v="8"/>
    <n v="38"/>
    <x v="171"/>
    <s v="Tue"/>
  </r>
  <r>
    <x v="187"/>
    <n v="770.27"/>
    <n v="775.83"/>
    <n v="784.5"/>
    <n v="770.77"/>
    <n v="-6.4999999999999997E-3"/>
    <x v="0"/>
    <x v="8"/>
    <n v="9"/>
    <x v="8"/>
    <n v="38"/>
    <x v="172"/>
    <s v="Wed"/>
  </r>
  <r>
    <x v="188"/>
    <n v="767.43"/>
    <n v="770.77"/>
    <n v="776.5"/>
    <n v="767.93"/>
    <n v="-3.7000000000000002E-3"/>
    <x v="0"/>
    <x v="8"/>
    <n v="9"/>
    <x v="8"/>
    <n v="38"/>
    <x v="173"/>
    <s v="Thu"/>
  </r>
  <r>
    <x v="189"/>
    <n v="767.43"/>
    <n v="767.93"/>
    <n v="767.93"/>
    <n v="767.93"/>
    <n v="0"/>
    <x v="0"/>
    <x v="8"/>
    <n v="9"/>
    <x v="8"/>
    <n v="38"/>
    <x v="174"/>
    <s v="Fri"/>
  </r>
  <r>
    <x v="190"/>
    <n v="779.05"/>
    <n v="784.5"/>
    <n v="784.5"/>
    <n v="756.96"/>
    <n v="1.5100000000000001E-2"/>
    <x v="0"/>
    <x v="8"/>
    <n v="9"/>
    <x v="8"/>
    <n v="39"/>
    <x v="175"/>
    <s v="Mon"/>
  </r>
  <r>
    <x v="191"/>
    <n v="779.05"/>
    <n v="779.55"/>
    <n v="781.52499999999998"/>
    <n v="779.52499999999998"/>
    <n v="0"/>
    <x v="0"/>
    <x v="8"/>
    <n v="9"/>
    <x v="8"/>
    <n v="39"/>
    <x v="176"/>
    <s v="Tue"/>
  </r>
  <r>
    <x v="192"/>
    <n v="777.6"/>
    <n v="779.55"/>
    <n v="781.52499999999998"/>
    <n v="777.8"/>
    <n v="-1.9E-3"/>
    <x v="0"/>
    <x v="8"/>
    <n v="9"/>
    <x v="8"/>
    <n v="39"/>
    <x v="177"/>
    <s v="Wed"/>
  </r>
  <r>
    <x v="193"/>
    <n v="777.6"/>
    <n v="778.1"/>
    <n v="798.5"/>
    <n v="778.1"/>
    <n v="0"/>
    <x v="0"/>
    <x v="8"/>
    <n v="9"/>
    <x v="8"/>
    <n v="39"/>
    <x v="178"/>
    <s v="Thu"/>
  </r>
  <r>
    <x v="194"/>
    <n v="768"/>
    <n v="778.1"/>
    <n v="781.5"/>
    <n v="768.8"/>
    <n v="-1.23E-2"/>
    <x v="0"/>
    <x v="8"/>
    <n v="9"/>
    <x v="8"/>
    <n v="39"/>
    <x v="177"/>
    <s v="Fri"/>
  </r>
  <r>
    <x v="195"/>
    <n v="766.47"/>
    <n v="769.55"/>
    <n v="771.02499999999998"/>
    <n v="766.97"/>
    <n v="-2E-3"/>
    <x v="0"/>
    <x v="9"/>
    <n v="10"/>
    <x v="9"/>
    <n v="40"/>
    <x v="179"/>
    <s v="Mon"/>
  </r>
  <r>
    <x v="196"/>
    <n v="766.45"/>
    <n v="766.97"/>
    <n v="798.5"/>
    <n v="766.95"/>
    <n v="0"/>
    <x v="0"/>
    <x v="9"/>
    <n v="10"/>
    <x v="9"/>
    <n v="40"/>
    <x v="180"/>
    <s v="Tue"/>
  </r>
  <r>
    <x v="197"/>
    <n v="746.61"/>
    <n v="766.95"/>
    <n v="770.5"/>
    <n v="747.1"/>
    <n v="-2.5899999999999999E-2"/>
    <x v="0"/>
    <x v="9"/>
    <n v="10"/>
    <x v="9"/>
    <n v="40"/>
    <x v="181"/>
    <s v="Wed"/>
  </r>
  <r>
    <x v="198"/>
    <n v="761.54"/>
    <n v="747.11"/>
    <n v="770.5"/>
    <n v="747.11"/>
    <n v="0.02"/>
    <x v="0"/>
    <x v="9"/>
    <n v="10"/>
    <x v="9"/>
    <n v="40"/>
    <x v="182"/>
    <s v="Thu"/>
  </r>
  <r>
    <x v="199"/>
    <n v="771.54"/>
    <n v="762.04"/>
    <n v="772.04"/>
    <n v="762.04"/>
    <n v="1.3100000000000001E-2"/>
    <x v="0"/>
    <x v="9"/>
    <n v="10"/>
    <x v="9"/>
    <n v="40"/>
    <x v="183"/>
    <s v="Fri"/>
  </r>
  <r>
    <x v="200"/>
    <n v="758.71"/>
    <n v="772.04"/>
    <n v="772.04"/>
    <n v="759.21"/>
    <n v="-1.66E-2"/>
    <x v="0"/>
    <x v="9"/>
    <n v="10"/>
    <x v="9"/>
    <n v="41"/>
    <x v="184"/>
    <s v="Mon"/>
  </r>
  <r>
    <x v="201"/>
    <n v="763.03"/>
    <n v="759.21"/>
    <n v="776.5"/>
    <n v="759.21"/>
    <n v="5.7000000000000002E-3"/>
    <x v="0"/>
    <x v="9"/>
    <n v="10"/>
    <x v="9"/>
    <n v="41"/>
    <x v="185"/>
    <s v="Tue"/>
  </r>
  <r>
    <x v="202"/>
    <n v="759.49"/>
    <n v="763.53"/>
    <n v="775.5"/>
    <n v="759.99"/>
    <n v="-4.5999999999999999E-3"/>
    <x v="0"/>
    <x v="9"/>
    <n v="10"/>
    <x v="9"/>
    <n v="41"/>
    <x v="186"/>
    <s v="Wed"/>
  </r>
  <r>
    <x v="203"/>
    <n v="768"/>
    <n v="759.99"/>
    <n v="769.05"/>
    <n v="759.99"/>
    <n v="1.12E-2"/>
    <x v="0"/>
    <x v="9"/>
    <n v="10"/>
    <x v="9"/>
    <n v="41"/>
    <x v="187"/>
    <s v="Thu"/>
  </r>
  <r>
    <x v="204"/>
    <n v="769.51"/>
    <n v="768.6"/>
    <n v="775.5"/>
    <n v="768.6"/>
    <n v="2E-3"/>
    <x v="0"/>
    <x v="9"/>
    <n v="10"/>
    <x v="9"/>
    <n v="41"/>
    <x v="188"/>
    <s v="Fri"/>
  </r>
  <r>
    <x v="205"/>
    <n v="764.93"/>
    <n v="770.01"/>
    <n v="775.5"/>
    <n v="765.43"/>
    <n v="-6.0000000000000001E-3"/>
    <x v="0"/>
    <x v="9"/>
    <n v="10"/>
    <x v="9"/>
    <n v="42"/>
    <x v="189"/>
    <s v="Mon"/>
  </r>
  <r>
    <x v="206"/>
    <n v="764.24"/>
    <n v="765.43"/>
    <n v="767.46500000000003"/>
    <n v="764.62"/>
    <n v="-8.9999999999999998E-4"/>
    <x v="0"/>
    <x v="9"/>
    <n v="10"/>
    <x v="9"/>
    <n v="42"/>
    <x v="190"/>
    <s v="Tue"/>
  </r>
  <r>
    <x v="207"/>
    <n v="774.44"/>
    <n v="764.74"/>
    <n v="774.94"/>
    <n v="764.62"/>
    <n v="1.3299999999999999E-2"/>
    <x v="0"/>
    <x v="9"/>
    <n v="10"/>
    <x v="9"/>
    <n v="42"/>
    <x v="191"/>
    <s v="Wed"/>
  </r>
  <r>
    <x v="208"/>
    <n v="764"/>
    <n v="774.94"/>
    <n v="774.94"/>
    <n v="766"/>
    <n v="-1.35E-2"/>
    <x v="0"/>
    <x v="9"/>
    <n v="10"/>
    <x v="9"/>
    <n v="42"/>
    <x v="192"/>
    <s v="Thu"/>
  </r>
  <r>
    <x v="209"/>
    <n v="859.23"/>
    <n v="859.73"/>
    <n v="861.11500000000001"/>
    <n v="859.11500000000001"/>
    <n v="0.1246"/>
    <x v="0"/>
    <x v="9"/>
    <n v="10"/>
    <x v="9"/>
    <n v="42"/>
    <x v="193"/>
    <s v="Fri"/>
  </r>
  <r>
    <x v="210"/>
    <n v="883"/>
    <n v="859.73"/>
    <n v="884.5"/>
    <n v="859.11500000000001"/>
    <n v="2.7699999999999999E-2"/>
    <x v="0"/>
    <x v="9"/>
    <n v="10"/>
    <x v="9"/>
    <n v="43"/>
    <x v="194"/>
    <s v="Mon"/>
  </r>
  <r>
    <x v="211"/>
    <n v="794.93"/>
    <n v="883.5"/>
    <n v="883.5"/>
    <n v="795.43"/>
    <n v="-9.9699999999999997E-2"/>
    <x v="0"/>
    <x v="9"/>
    <n v="10"/>
    <x v="9"/>
    <n v="43"/>
    <x v="195"/>
    <s v="Tue"/>
  </r>
  <r>
    <x v="212"/>
    <n v="794.93"/>
    <n v="795.43"/>
    <n v="795.46500000000003"/>
    <n v="789.5"/>
    <n v="0"/>
    <x v="0"/>
    <x v="9"/>
    <n v="10"/>
    <x v="9"/>
    <n v="43"/>
    <x v="196"/>
    <s v="Wed"/>
  </r>
  <r>
    <x v="213"/>
    <n v="802.2"/>
    <n v="795.43"/>
    <n v="802.7"/>
    <n v="788.5"/>
    <n v="9.1000000000000004E-3"/>
    <x v="0"/>
    <x v="9"/>
    <n v="10"/>
    <x v="9"/>
    <n v="43"/>
    <x v="197"/>
    <s v="Thu"/>
  </r>
  <r>
    <x v="214"/>
    <n v="790"/>
    <n v="802.7"/>
    <n v="802.7"/>
    <n v="789.5"/>
    <n v="-1.52E-2"/>
    <x v="0"/>
    <x v="9"/>
    <n v="10"/>
    <x v="9"/>
    <n v="43"/>
    <x v="198"/>
    <s v="Fri"/>
  </r>
  <r>
    <x v="215"/>
    <n v="785.98"/>
    <n v="790.5"/>
    <n v="795"/>
    <n v="785.99"/>
    <n v="-5.1000000000000004E-3"/>
    <x v="0"/>
    <x v="9"/>
    <n v="10"/>
    <x v="9"/>
    <n v="44"/>
    <x v="199"/>
    <s v="Mon"/>
  </r>
  <r>
    <x v="216"/>
    <n v="785"/>
    <n v="786.48"/>
    <n v="786.99"/>
    <n v="785.99"/>
    <n v="-1.1999999999999999E-3"/>
    <x v="0"/>
    <x v="9"/>
    <n v="10"/>
    <x v="9"/>
    <n v="44"/>
    <x v="200"/>
    <s v="Tue"/>
  </r>
  <r>
    <x v="217"/>
    <n v="787"/>
    <n v="787.5"/>
    <n v="789.5"/>
    <n v="786.5"/>
    <n v="2.5000000000000001E-3"/>
    <x v="0"/>
    <x v="10"/>
    <n v="11"/>
    <x v="10"/>
    <n v="44"/>
    <x v="201"/>
    <s v="Wed"/>
  </r>
  <r>
    <x v="218"/>
    <n v="787"/>
    <n v="787.5"/>
    <n v="788.5"/>
    <n v="787.5"/>
    <n v="0"/>
    <x v="0"/>
    <x v="10"/>
    <n v="11"/>
    <x v="10"/>
    <n v="44"/>
    <x v="202"/>
    <s v="Thu"/>
  </r>
  <r>
    <x v="219"/>
    <n v="806.27"/>
    <n v="815.51"/>
    <n v="815.51"/>
    <n v="806.13499999999999"/>
    <n v="2.4500000000000001E-2"/>
    <x v="0"/>
    <x v="10"/>
    <n v="11"/>
    <x v="10"/>
    <n v="44"/>
    <x v="203"/>
    <s v="Fri"/>
  </r>
  <r>
    <x v="220"/>
    <n v="799.2"/>
    <n v="806.77"/>
    <n v="807.13499999999999"/>
    <n v="789.5"/>
    <n v="-8.8000000000000005E-3"/>
    <x v="0"/>
    <x v="10"/>
    <n v="11"/>
    <x v="10"/>
    <n v="45"/>
    <x v="204"/>
    <s v="Mon"/>
  </r>
  <r>
    <x v="221"/>
    <n v="786.09"/>
    <n v="799.7"/>
    <n v="806.5"/>
    <n v="786.59"/>
    <n v="-1.6400000000000001E-2"/>
    <x v="0"/>
    <x v="10"/>
    <n v="11"/>
    <x v="10"/>
    <n v="45"/>
    <x v="205"/>
    <s v="Tue"/>
  </r>
  <r>
    <x v="222"/>
    <n v="802.8"/>
    <n v="786.59"/>
    <n v="806.5"/>
    <n v="786.59"/>
    <n v="2.1299999999999999E-2"/>
    <x v="0"/>
    <x v="10"/>
    <n v="11"/>
    <x v="10"/>
    <n v="45"/>
    <x v="206"/>
    <s v="Wed"/>
  </r>
  <r>
    <x v="223"/>
    <n v="802"/>
    <n v="803.3"/>
    <n v="803.4"/>
    <n v="802.9"/>
    <n v="-1E-3"/>
    <x v="0"/>
    <x v="10"/>
    <n v="11"/>
    <x v="10"/>
    <n v="45"/>
    <x v="207"/>
    <s v="Thu"/>
  </r>
  <r>
    <x v="224"/>
    <n v="802"/>
    <n v="803"/>
    <n v="803"/>
    <n v="803"/>
    <n v="0"/>
    <x v="0"/>
    <x v="10"/>
    <n v="11"/>
    <x v="10"/>
    <n v="45"/>
    <x v="208"/>
    <s v="Fri"/>
  </r>
  <r>
    <x v="225"/>
    <n v="802"/>
    <n v="803"/>
    <n v="803"/>
    <n v="803"/>
    <n v="0"/>
    <x v="0"/>
    <x v="10"/>
    <n v="11"/>
    <x v="10"/>
    <n v="46"/>
    <x v="209"/>
    <s v="Mon"/>
  </r>
  <r>
    <x v="226"/>
    <n v="844.94"/>
    <n v="844.94"/>
    <n v="845.44"/>
    <n v="845.44"/>
    <n v="5.3499999999999999E-2"/>
    <x v="0"/>
    <x v="10"/>
    <n v="11"/>
    <x v="10"/>
    <n v="46"/>
    <x v="210"/>
    <s v="Tue"/>
  </r>
  <r>
    <x v="227"/>
    <n v="843.08"/>
    <n v="843.58"/>
    <n v="846"/>
    <n v="843.54"/>
    <n v="-2.2000000000000001E-3"/>
    <x v="0"/>
    <x v="10"/>
    <n v="11"/>
    <x v="10"/>
    <n v="46"/>
    <x v="211"/>
    <s v="Wed"/>
  </r>
  <r>
    <x v="228"/>
    <n v="826.84"/>
    <n v="843.58"/>
    <n v="845.54"/>
    <n v="827.34"/>
    <n v="-1.9300000000000001E-2"/>
    <x v="0"/>
    <x v="10"/>
    <n v="11"/>
    <x v="10"/>
    <n v="46"/>
    <x v="212"/>
    <s v="Thu"/>
  </r>
  <r>
    <x v="229"/>
    <n v="839.54"/>
    <n v="827.34"/>
    <n v="845.5"/>
    <n v="827.34"/>
    <n v="1.54E-2"/>
    <x v="0"/>
    <x v="10"/>
    <n v="11"/>
    <x v="10"/>
    <n v="46"/>
    <x v="213"/>
    <s v="Fri"/>
  </r>
  <r>
    <x v="230"/>
    <n v="819.68"/>
    <n v="840.04"/>
    <n v="845.5"/>
    <n v="819.84"/>
    <n v="-2.3699999999999999E-2"/>
    <x v="0"/>
    <x v="10"/>
    <n v="11"/>
    <x v="10"/>
    <n v="47"/>
    <x v="214"/>
    <s v="Mon"/>
  </r>
  <r>
    <x v="231"/>
    <n v="816.1"/>
    <n v="820.18"/>
    <n v="821.84"/>
    <n v="816.6"/>
    <n v="-4.4000000000000003E-3"/>
    <x v="0"/>
    <x v="10"/>
    <n v="11"/>
    <x v="10"/>
    <n v="47"/>
    <x v="215"/>
    <s v="Tue"/>
  </r>
  <r>
    <x v="232"/>
    <n v="803.89"/>
    <n v="816.6"/>
    <n v="816.6"/>
    <n v="804.39"/>
    <n v="-1.4999999999999999E-2"/>
    <x v="0"/>
    <x v="10"/>
    <n v="11"/>
    <x v="10"/>
    <n v="47"/>
    <x v="216"/>
    <s v="Wed"/>
  </r>
  <r>
    <x v="233"/>
    <n v="803.89"/>
    <n v="804.39"/>
    <n v="804.39"/>
    <n v="804.39"/>
    <n v="0"/>
    <x v="0"/>
    <x v="10"/>
    <n v="11"/>
    <x v="10"/>
    <n v="47"/>
    <x v="217"/>
    <s v="Thu"/>
  </r>
  <r>
    <x v="234"/>
    <n v="804"/>
    <n v="804.39"/>
    <n v="806.5"/>
    <n v="804.39"/>
    <n v="1E-4"/>
    <x v="0"/>
    <x v="10"/>
    <n v="11"/>
    <x v="10"/>
    <n v="47"/>
    <x v="218"/>
    <s v="Fri"/>
  </r>
  <r>
    <x v="235"/>
    <n v="799"/>
    <n v="789.5"/>
    <n v="806.5"/>
    <n v="789.5"/>
    <n v="-6.1999999999999998E-3"/>
    <x v="0"/>
    <x v="10"/>
    <n v="11"/>
    <x v="10"/>
    <n v="48"/>
    <x v="219"/>
    <s v="Mon"/>
  </r>
  <r>
    <x v="236"/>
    <n v="789"/>
    <n v="799.5"/>
    <n v="806.5"/>
    <n v="789.5"/>
    <n v="-1.2500000000000001E-2"/>
    <x v="0"/>
    <x v="10"/>
    <n v="11"/>
    <x v="10"/>
    <n v="48"/>
    <x v="220"/>
    <s v="Tue"/>
  </r>
  <r>
    <x v="237"/>
    <n v="793"/>
    <n v="789.5"/>
    <n v="793.5"/>
    <n v="789.5"/>
    <n v="5.1000000000000004E-3"/>
    <x v="0"/>
    <x v="10"/>
    <n v="11"/>
    <x v="10"/>
    <n v="48"/>
    <x v="221"/>
    <s v="Wed"/>
  </r>
  <r>
    <x v="238"/>
    <n v="790"/>
    <n v="793.5"/>
    <n v="793.5"/>
    <n v="789.5"/>
    <n v="-3.8E-3"/>
    <x v="0"/>
    <x v="10"/>
    <n v="11"/>
    <x v="10"/>
    <n v="48"/>
    <x v="222"/>
    <s v="Thu"/>
  </r>
  <r>
    <x v="239"/>
    <n v="788"/>
    <n v="790.5"/>
    <n v="790.5"/>
    <n v="788.5"/>
    <n v="-2.5000000000000001E-3"/>
    <x v="0"/>
    <x v="11"/>
    <n v="12"/>
    <x v="11"/>
    <n v="48"/>
    <x v="223"/>
    <s v="Fri"/>
  </r>
  <r>
    <x v="240"/>
    <n v="798"/>
    <n v="789"/>
    <n v="799.5"/>
    <n v="789"/>
    <n v="1.2699999999999999E-2"/>
    <x v="0"/>
    <x v="11"/>
    <n v="12"/>
    <x v="11"/>
    <n v="49"/>
    <x v="224"/>
    <s v="Mon"/>
  </r>
  <r>
    <x v="241"/>
    <n v="801"/>
    <n v="799"/>
    <n v="819.5"/>
    <n v="789.5"/>
    <n v="3.8E-3"/>
    <x v="0"/>
    <x v="11"/>
    <n v="12"/>
    <x v="11"/>
    <n v="49"/>
    <x v="225"/>
    <s v="Tue"/>
  </r>
  <r>
    <x v="242"/>
    <n v="801"/>
    <n v="802"/>
    <n v="802"/>
    <n v="802"/>
    <n v="0"/>
    <x v="0"/>
    <x v="11"/>
    <n v="12"/>
    <x v="11"/>
    <n v="49"/>
    <x v="226"/>
    <s v="Wed"/>
  </r>
  <r>
    <x v="243"/>
    <n v="800"/>
    <n v="802"/>
    <n v="803"/>
    <n v="789.5"/>
    <n v="-1.1999999999999999E-3"/>
    <x v="0"/>
    <x v="11"/>
    <n v="12"/>
    <x v="11"/>
    <n v="49"/>
    <x v="227"/>
    <s v="Thu"/>
  </r>
  <r>
    <x v="244"/>
    <n v="790"/>
    <n v="801"/>
    <n v="802.5"/>
    <n v="789.5"/>
    <n v="-1.2500000000000001E-2"/>
    <x v="0"/>
    <x v="11"/>
    <n v="12"/>
    <x v="11"/>
    <n v="49"/>
    <x v="228"/>
    <s v="Fri"/>
  </r>
  <r>
    <x v="245"/>
    <n v="790"/>
    <n v="791"/>
    <n v="802.5"/>
    <n v="789.5"/>
    <n v="0"/>
    <x v="0"/>
    <x v="11"/>
    <n v="12"/>
    <x v="11"/>
    <n v="50"/>
    <x v="228"/>
    <s v="Mon"/>
  </r>
  <r>
    <x v="246"/>
    <n v="801.45"/>
    <n v="791"/>
    <n v="803.22500000000002"/>
    <n v="789.5"/>
    <n v="1.4500000000000001E-2"/>
    <x v="0"/>
    <x v="11"/>
    <n v="12"/>
    <x v="11"/>
    <n v="50"/>
    <x v="229"/>
    <s v="Tue"/>
  </r>
  <r>
    <x v="247"/>
    <n v="802"/>
    <n v="802.42"/>
    <n v="803.5"/>
    <n v="789.5"/>
    <n v="6.9999999999999999E-4"/>
    <x v="0"/>
    <x v="11"/>
    <n v="12"/>
    <x v="11"/>
    <n v="50"/>
    <x v="230"/>
    <s v="Wed"/>
  </r>
  <r>
    <x v="248"/>
    <n v="790"/>
    <n v="803"/>
    <n v="803.5"/>
    <n v="789.5"/>
    <n v="-1.4999999999999999E-2"/>
    <x v="0"/>
    <x v="11"/>
    <n v="12"/>
    <x v="11"/>
    <n v="50"/>
    <x v="231"/>
    <s v="Thu"/>
  </r>
  <r>
    <x v="249"/>
    <n v="789"/>
    <n v="791"/>
    <n v="802.5"/>
    <n v="789.5"/>
    <n v="-1.2999999999999999E-3"/>
    <x v="0"/>
    <x v="11"/>
    <n v="12"/>
    <x v="11"/>
    <n v="50"/>
    <x v="232"/>
    <s v="Fri"/>
  </r>
  <r>
    <x v="250"/>
    <n v="789"/>
    <n v="790"/>
    <n v="790"/>
    <n v="790"/>
    <n v="0"/>
    <x v="0"/>
    <x v="11"/>
    <n v="12"/>
    <x v="11"/>
    <n v="51"/>
    <x v="233"/>
    <s v="Mon"/>
  </r>
  <r>
    <x v="251"/>
    <n v="824"/>
    <n v="825"/>
    <n v="825"/>
    <n v="825"/>
    <n v="4.4400000000000002E-2"/>
    <x v="0"/>
    <x v="11"/>
    <n v="12"/>
    <x v="11"/>
    <n v="51"/>
    <x v="230"/>
    <s v="Tue"/>
  </r>
  <r>
    <x v="252"/>
    <n v="824"/>
    <n v="825"/>
    <n v="825"/>
    <n v="825"/>
    <n v="0"/>
    <x v="0"/>
    <x v="11"/>
    <n v="12"/>
    <x v="11"/>
    <n v="51"/>
    <x v="234"/>
    <s v="Wed"/>
  </r>
  <r>
    <x v="253"/>
    <n v="902"/>
    <n v="825"/>
    <n v="903"/>
    <n v="825"/>
    <n v="9.4700000000000006E-2"/>
    <x v="0"/>
    <x v="11"/>
    <n v="12"/>
    <x v="11"/>
    <n v="51"/>
    <x v="235"/>
    <s v="Thu"/>
  </r>
  <r>
    <x v="254"/>
    <n v="905.39"/>
    <n v="903"/>
    <n v="906.39"/>
    <n v="903"/>
    <n v="3.8E-3"/>
    <x v="0"/>
    <x v="11"/>
    <n v="12"/>
    <x v="11"/>
    <n v="51"/>
    <x v="236"/>
    <s v="Fri"/>
  </r>
  <r>
    <x v="255"/>
    <n v="905.39"/>
    <n v="905.39"/>
    <n v="905.39"/>
    <n v="905.39"/>
    <n v="0"/>
    <x v="0"/>
    <x v="11"/>
    <n v="12"/>
    <x v="11"/>
    <n v="52"/>
    <x v="237"/>
    <s v="Mon"/>
  </r>
  <r>
    <x v="256"/>
    <n v="904.1"/>
    <n v="904.1"/>
    <n v="906.05"/>
    <n v="904.05"/>
    <n v="-1.4E-3"/>
    <x v="0"/>
    <x v="11"/>
    <n v="12"/>
    <x v="11"/>
    <n v="52"/>
    <x v="238"/>
    <s v="Tue"/>
  </r>
  <r>
    <x v="257"/>
    <n v="884"/>
    <n v="905.1"/>
    <n v="906.05"/>
    <n v="884.5"/>
    <n v="-2.2200000000000001E-2"/>
    <x v="0"/>
    <x v="11"/>
    <n v="12"/>
    <x v="11"/>
    <n v="52"/>
    <x v="239"/>
    <s v="Wed"/>
  </r>
  <r>
    <x v="258"/>
    <n v="895.61"/>
    <n v="885"/>
    <n v="905.5"/>
    <n v="885"/>
    <n v="1.3100000000000001E-2"/>
    <x v="0"/>
    <x v="11"/>
    <n v="12"/>
    <x v="11"/>
    <n v="52"/>
    <x v="240"/>
    <s v="Thu"/>
  </r>
  <r>
    <x v="259"/>
    <n v="881.03"/>
    <n v="896.61"/>
    <n v="897.80499999999995"/>
    <n v="882.03"/>
    <n v="-1.6299999999999999E-2"/>
    <x v="0"/>
    <x v="11"/>
    <n v="12"/>
    <x v="11"/>
    <n v="52"/>
    <x v="241"/>
    <s v="Fri"/>
  </r>
  <r>
    <x v="260"/>
    <n v="881.03"/>
    <n v="882.03"/>
    <n v="882.03"/>
    <n v="882.03"/>
    <n v="0"/>
    <x v="1"/>
    <x v="0"/>
    <n v="1"/>
    <x v="12"/>
    <n v="1"/>
    <x v="242"/>
    <s v="Mon"/>
  </r>
  <r>
    <x v="261"/>
    <n v="883"/>
    <n v="882.03"/>
    <n v="897.5"/>
    <n v="882.03"/>
    <n v="2.2000000000000001E-3"/>
    <x v="1"/>
    <x v="0"/>
    <n v="1"/>
    <x v="12"/>
    <n v="1"/>
    <x v="243"/>
    <s v="Tue"/>
  </r>
  <r>
    <x v="262"/>
    <n v="890.9"/>
    <n v="884.8"/>
    <n v="891.9"/>
    <n v="884.4"/>
    <n v="8.8999999999999999E-3"/>
    <x v="1"/>
    <x v="0"/>
    <n v="1"/>
    <x v="12"/>
    <n v="1"/>
    <x v="244"/>
    <s v="Wed"/>
  </r>
  <r>
    <x v="263"/>
    <n v="911.44"/>
    <n v="891.9"/>
    <n v="912.44"/>
    <n v="884.5"/>
    <n v="2.3099999999999999E-2"/>
    <x v="1"/>
    <x v="0"/>
    <n v="1"/>
    <x v="12"/>
    <n v="1"/>
    <x v="245"/>
    <s v="Thu"/>
  </r>
  <r>
    <x v="264"/>
    <n v="913"/>
    <n v="912.44"/>
    <n v="914.71500000000003"/>
    <n v="884.5"/>
    <n v="1.6999999999999999E-3"/>
    <x v="1"/>
    <x v="0"/>
    <n v="1"/>
    <x v="12"/>
    <n v="1"/>
    <x v="246"/>
    <s v="Fri"/>
  </r>
  <r>
    <x v="265"/>
    <n v="913"/>
    <n v="914.43"/>
    <n v="914.71500000000003"/>
    <n v="884.5"/>
    <n v="0"/>
    <x v="1"/>
    <x v="0"/>
    <n v="1"/>
    <x v="12"/>
    <n v="2"/>
    <x v="247"/>
    <s v="Mon"/>
  </r>
  <r>
    <x v="266"/>
    <n v="913"/>
    <n v="885.2"/>
    <n v="914.5"/>
    <n v="885.2"/>
    <n v="0"/>
    <x v="1"/>
    <x v="0"/>
    <n v="1"/>
    <x v="12"/>
    <n v="2"/>
    <x v="248"/>
    <s v="Tue"/>
  </r>
  <r>
    <x v="267"/>
    <n v="950.49"/>
    <n v="952.5"/>
    <n v="952.745"/>
    <n v="951.245"/>
    <n v="4.1099999999999998E-2"/>
    <x v="1"/>
    <x v="0"/>
    <n v="1"/>
    <x v="12"/>
    <n v="2"/>
    <x v="249"/>
    <s v="Wed"/>
  </r>
  <r>
    <x v="268"/>
    <n v="957.05"/>
    <n v="951.49"/>
    <n v="959.02499999999998"/>
    <n v="951.245"/>
    <n v="6.8999999999999999E-3"/>
    <x v="1"/>
    <x v="0"/>
    <n v="1"/>
    <x v="12"/>
    <n v="2"/>
    <x v="250"/>
    <s v="Thu"/>
  </r>
  <r>
    <x v="269"/>
    <n v="957"/>
    <n v="958.05"/>
    <n v="959.02499999999998"/>
    <n v="958.02499999999998"/>
    <n v="-1E-4"/>
    <x v="1"/>
    <x v="0"/>
    <n v="1"/>
    <x v="12"/>
    <n v="2"/>
    <x v="251"/>
    <s v="Fri"/>
  </r>
  <r>
    <x v="270"/>
    <n v="864.99"/>
    <n v="865.99"/>
    <n v="879.68"/>
    <n v="865.99"/>
    <n v="-9.6100000000000005E-2"/>
    <x v="1"/>
    <x v="0"/>
    <n v="1"/>
    <x v="12"/>
    <n v="3"/>
    <x v="252"/>
    <s v="Mon"/>
  </r>
  <r>
    <x v="271"/>
    <n v="852.77"/>
    <n v="865.99"/>
    <n v="910.75"/>
    <n v="853.77"/>
    <n v="-1.41E-2"/>
    <x v="1"/>
    <x v="0"/>
    <n v="1"/>
    <x v="12"/>
    <n v="3"/>
    <x v="253"/>
    <s v="Tue"/>
  </r>
  <r>
    <x v="272"/>
    <n v="858"/>
    <n v="853.77"/>
    <n v="910.75"/>
    <n v="853.77"/>
    <n v="6.1000000000000004E-3"/>
    <x v="1"/>
    <x v="0"/>
    <n v="1"/>
    <x v="12"/>
    <n v="3"/>
    <x v="254"/>
    <s v="Wed"/>
  </r>
  <r>
    <x v="273"/>
    <n v="894.52"/>
    <n v="859.06"/>
    <n v="910.75"/>
    <n v="859.06"/>
    <n v="4.2599999999999999E-2"/>
    <x v="1"/>
    <x v="0"/>
    <n v="1"/>
    <x v="12"/>
    <n v="3"/>
    <x v="255"/>
    <s v="Thu"/>
  </r>
  <r>
    <x v="274"/>
    <n v="890.04"/>
    <n v="895.52"/>
    <n v="910.75"/>
    <n v="860.5"/>
    <n v="-5.0000000000000001E-3"/>
    <x v="1"/>
    <x v="0"/>
    <n v="1"/>
    <x v="12"/>
    <n v="3"/>
    <x v="256"/>
    <s v="Fri"/>
  </r>
  <r>
    <x v="275"/>
    <n v="890.01"/>
    <n v="891.04"/>
    <n v="911"/>
    <n v="891.005"/>
    <n v="0"/>
    <x v="1"/>
    <x v="0"/>
    <n v="1"/>
    <x v="12"/>
    <n v="4"/>
    <x v="257"/>
    <s v="Mon"/>
  </r>
  <r>
    <x v="276"/>
    <n v="913.56"/>
    <n v="891.01"/>
    <n v="914.56"/>
    <n v="849.5"/>
    <n v="2.6499999999999999E-2"/>
    <x v="1"/>
    <x v="0"/>
    <n v="1"/>
    <x v="12"/>
    <n v="4"/>
    <x v="258"/>
    <s v="Tue"/>
  </r>
  <r>
    <x v="277"/>
    <n v="899.27"/>
    <n v="914.56"/>
    <n v="914.56"/>
    <n v="870.5"/>
    <n v="-1.5599999999999999E-2"/>
    <x v="1"/>
    <x v="0"/>
    <n v="1"/>
    <x v="12"/>
    <n v="4"/>
    <x v="259"/>
    <s v="Wed"/>
  </r>
  <r>
    <x v="278"/>
    <n v="886.39"/>
    <n v="900.27"/>
    <n v="900.98"/>
    <n v="887.39"/>
    <n v="-1.43E-2"/>
    <x v="1"/>
    <x v="0"/>
    <n v="1"/>
    <x v="12"/>
    <n v="4"/>
    <x v="260"/>
    <s v="Thu"/>
  </r>
  <r>
    <x v="279"/>
    <n v="898.2"/>
    <n v="887.39"/>
    <n v="901.5"/>
    <n v="887.39"/>
    <n v="1.3299999999999999E-2"/>
    <x v="1"/>
    <x v="0"/>
    <n v="1"/>
    <x v="12"/>
    <n v="4"/>
    <x v="261"/>
    <s v="Fri"/>
  </r>
  <r>
    <x v="280"/>
    <n v="891.05"/>
    <n v="899.2"/>
    <n v="911"/>
    <n v="892.05"/>
    <n v="-8.0000000000000002E-3"/>
    <x v="1"/>
    <x v="0"/>
    <n v="1"/>
    <x v="12"/>
    <n v="5"/>
    <x v="262"/>
    <s v="Mon"/>
  </r>
  <r>
    <x v="281"/>
    <n v="1100"/>
    <n v="892.05"/>
    <n v="1250.75"/>
    <n v="892.05"/>
    <n v="0.23449999999999999"/>
    <x v="1"/>
    <x v="0"/>
    <n v="1"/>
    <x v="12"/>
    <n v="5"/>
    <x v="263"/>
    <s v="Tue"/>
  </r>
  <r>
    <x v="282"/>
    <n v="1191.94"/>
    <n v="1100.5"/>
    <n v="1192.94"/>
    <n v="1100.5"/>
    <n v="8.3599999999999994E-2"/>
    <x v="1"/>
    <x v="0"/>
    <n v="1"/>
    <x v="12"/>
    <n v="5"/>
    <x v="264"/>
    <s v="Wed"/>
  </r>
  <r>
    <x v="283"/>
    <n v="1356.38"/>
    <n v="1192.94"/>
    <n v="1358.7"/>
    <n v="1100.5"/>
    <n v="0.13800000000000001"/>
    <x v="1"/>
    <x v="1"/>
    <n v="2"/>
    <x v="13"/>
    <n v="5"/>
    <x v="265"/>
    <s v="Thu"/>
  </r>
  <r>
    <x v="284"/>
    <n v="1413.12"/>
    <n v="1357.38"/>
    <n v="1414.12"/>
    <n v="950.5"/>
    <n v="4.1799999999999997E-2"/>
    <x v="1"/>
    <x v="1"/>
    <n v="2"/>
    <x v="13"/>
    <n v="5"/>
    <x v="266"/>
    <s v="Fri"/>
  </r>
  <r>
    <x v="285"/>
    <n v="1420.02"/>
    <n v="1414.12"/>
    <n v="1421.02"/>
    <n v="1100.5"/>
    <n v="4.8999999999999998E-3"/>
    <x v="1"/>
    <x v="1"/>
    <n v="2"/>
    <x v="13"/>
    <n v="6"/>
    <x v="267"/>
    <s v="Mon"/>
  </r>
  <r>
    <x v="286"/>
    <n v="1407"/>
    <n v="1421.02"/>
    <n v="1421.02"/>
    <n v="1250.5"/>
    <n v="-9.1999999999999998E-3"/>
    <x v="1"/>
    <x v="1"/>
    <n v="2"/>
    <x v="13"/>
    <n v="6"/>
    <x v="268"/>
    <s v="Tue"/>
  </r>
  <r>
    <x v="287"/>
    <n v="1417.13"/>
    <n v="1408"/>
    <n v="1418.13"/>
    <n v="1408"/>
    <n v="7.1999999999999998E-3"/>
    <x v="1"/>
    <x v="1"/>
    <n v="2"/>
    <x v="13"/>
    <n v="6"/>
    <x v="269"/>
    <s v="Wed"/>
  </r>
  <r>
    <x v="288"/>
    <n v="1444.06"/>
    <n v="1418.13"/>
    <n v="1445.06"/>
    <n v="1250.5"/>
    <n v="1.9E-2"/>
    <x v="1"/>
    <x v="1"/>
    <n v="2"/>
    <x v="13"/>
    <n v="6"/>
    <x v="270"/>
    <s v="Thu"/>
  </r>
  <r>
    <x v="289"/>
    <n v="1473.62"/>
    <n v="1445.06"/>
    <n v="1474.62"/>
    <n v="1250.5"/>
    <n v="2.0500000000000001E-2"/>
    <x v="1"/>
    <x v="1"/>
    <n v="2"/>
    <x v="13"/>
    <n v="6"/>
    <x v="271"/>
    <s v="Fri"/>
  </r>
  <r>
    <x v="290"/>
    <n v="1500"/>
    <n v="1474.62"/>
    <n v="1503.75"/>
    <n v="1250.75"/>
    <n v="1.7899999999999999E-2"/>
    <x v="1"/>
    <x v="1"/>
    <n v="2"/>
    <x v="13"/>
    <n v="7"/>
    <x v="272"/>
    <s v="Mon"/>
  </r>
  <r>
    <x v="291"/>
    <n v="1514.59"/>
    <n v="1481.98"/>
    <n v="1517.2950000000001"/>
    <n v="1449.5"/>
    <n v="9.7000000000000003E-3"/>
    <x v="1"/>
    <x v="1"/>
    <n v="2"/>
    <x v="13"/>
    <n v="7"/>
    <x v="273"/>
    <s v="Tue"/>
  </r>
  <r>
    <x v="292"/>
    <n v="1514.59"/>
    <n v="1515.59"/>
    <n v="1516.7950000000001"/>
    <n v="1449.5"/>
    <n v="0"/>
    <x v="1"/>
    <x v="1"/>
    <n v="2"/>
    <x v="13"/>
    <n v="7"/>
    <x v="274"/>
    <s v="Wed"/>
  </r>
  <r>
    <x v="293"/>
    <n v="1516.2"/>
    <n v="1515.59"/>
    <n v="1518.6"/>
    <n v="1449.5"/>
    <n v="1.1000000000000001E-3"/>
    <x v="1"/>
    <x v="1"/>
    <n v="2"/>
    <x v="13"/>
    <n v="7"/>
    <x v="275"/>
    <s v="Thu"/>
  </r>
  <r>
    <x v="294"/>
    <n v="1492.73"/>
    <n v="1517.2"/>
    <n v="1530.75"/>
    <n v="1493.365"/>
    <n v="-1.55E-2"/>
    <x v="1"/>
    <x v="1"/>
    <n v="2"/>
    <x v="13"/>
    <n v="7"/>
    <x v="276"/>
    <s v="Fri"/>
  </r>
  <r>
    <x v="295"/>
    <n v="1492.73"/>
    <n v="1493.73"/>
    <n v="1531"/>
    <n v="1250.75"/>
    <n v="0"/>
    <x v="1"/>
    <x v="1"/>
    <n v="2"/>
    <x v="13"/>
    <n v="8"/>
    <x v="277"/>
    <s v="Mon"/>
  </r>
  <r>
    <x v="296"/>
    <n v="1605"/>
    <n v="1493.73"/>
    <n v="1607.65"/>
    <n v="1490.5"/>
    <n v="7.5200000000000003E-2"/>
    <x v="1"/>
    <x v="1"/>
    <n v="2"/>
    <x v="13"/>
    <n v="8"/>
    <x v="278"/>
    <s v="Tue"/>
  </r>
  <r>
    <x v="297"/>
    <n v="1605"/>
    <n v="1606.3"/>
    <n v="1680.75"/>
    <n v="1420.5"/>
    <n v="0"/>
    <x v="1"/>
    <x v="1"/>
    <n v="2"/>
    <x v="13"/>
    <n v="8"/>
    <x v="279"/>
    <s v="Wed"/>
  </r>
  <r>
    <x v="298"/>
    <n v="1488.4"/>
    <n v="1606.32"/>
    <n v="1607.16"/>
    <n v="1489.4"/>
    <n v="-7.2599999999999998E-2"/>
    <x v="1"/>
    <x v="1"/>
    <n v="2"/>
    <x v="13"/>
    <n v="8"/>
    <x v="280"/>
    <s v="Thu"/>
  </r>
  <r>
    <x v="299"/>
    <n v="1488.4"/>
    <n v="1489.4"/>
    <n v="1607"/>
    <n v="1470.5"/>
    <n v="0"/>
    <x v="1"/>
    <x v="1"/>
    <n v="2"/>
    <x v="13"/>
    <n v="8"/>
    <x v="281"/>
    <s v="Fri"/>
  </r>
  <r>
    <x v="300"/>
    <n v="1505.85"/>
    <n v="1489.4"/>
    <n v="1560.5"/>
    <n v="1489.4"/>
    <n v="1.17E-2"/>
    <x v="1"/>
    <x v="1"/>
    <n v="2"/>
    <x v="13"/>
    <n v="9"/>
    <x v="282"/>
    <s v="Mon"/>
  </r>
  <r>
    <x v="301"/>
    <n v="1578.08"/>
    <n v="1506.85"/>
    <n v="1662.85"/>
    <n v="1506.425"/>
    <n v="4.8000000000000001E-2"/>
    <x v="1"/>
    <x v="1"/>
    <n v="2"/>
    <x v="13"/>
    <n v="9"/>
    <x v="283"/>
    <s v="Tue"/>
  </r>
  <r>
    <x v="302"/>
    <n v="1629.66"/>
    <n v="1579.08"/>
    <n v="1630.66"/>
    <n v="1507.5"/>
    <n v="3.27E-2"/>
    <x v="1"/>
    <x v="1"/>
    <n v="2"/>
    <x v="13"/>
    <n v="9"/>
    <x v="284"/>
    <s v="Wed"/>
  </r>
  <r>
    <x v="303"/>
    <n v="1616.55"/>
    <n v="1630.66"/>
    <n v="1630.66"/>
    <n v="1300.5"/>
    <n v="-8.0000000000000002E-3"/>
    <x v="1"/>
    <x v="1"/>
    <n v="2"/>
    <x v="13"/>
    <n v="9"/>
    <x v="285"/>
    <s v="Thu"/>
  </r>
  <r>
    <x v="304"/>
    <n v="1545"/>
    <n v="1617.55"/>
    <n v="1617.55"/>
    <n v="1300.5"/>
    <n v="-4.4299999999999999E-2"/>
    <x v="1"/>
    <x v="2"/>
    <n v="3"/>
    <x v="14"/>
    <n v="9"/>
    <x v="286"/>
    <s v="Fri"/>
  </r>
  <r>
    <x v="305"/>
    <n v="1543.58"/>
    <n v="1544.58"/>
    <n v="1544.58"/>
    <n v="1380.5"/>
    <n v="-8.9999999999999998E-4"/>
    <x v="1"/>
    <x v="2"/>
    <n v="3"/>
    <x v="14"/>
    <n v="10"/>
    <x v="287"/>
    <s v="Mon"/>
  </r>
  <r>
    <x v="306"/>
    <n v="1560.01"/>
    <n v="1544.58"/>
    <n v="1561.01"/>
    <n v="1500.5"/>
    <n v="1.06E-2"/>
    <x v="1"/>
    <x v="2"/>
    <n v="3"/>
    <x v="14"/>
    <n v="10"/>
    <x v="288"/>
    <s v="Tue"/>
  </r>
  <r>
    <x v="307"/>
    <n v="1590.17"/>
    <n v="1561.01"/>
    <n v="1592.585"/>
    <n v="1560.5"/>
    <n v="1.9300000000000001E-2"/>
    <x v="1"/>
    <x v="2"/>
    <n v="3"/>
    <x v="14"/>
    <n v="10"/>
    <x v="289"/>
    <s v="Wed"/>
  </r>
  <r>
    <x v="308"/>
    <n v="1589.14"/>
    <n v="1591.17"/>
    <n v="1595.5"/>
    <n v="1580.25"/>
    <n v="-5.9999999999999995E-4"/>
    <x v="1"/>
    <x v="2"/>
    <n v="3"/>
    <x v="14"/>
    <n v="10"/>
    <x v="290"/>
    <s v="Thu"/>
  </r>
  <r>
    <x v="309"/>
    <n v="1593.34"/>
    <n v="1590.14"/>
    <n v="1594.34"/>
    <n v="1505.5"/>
    <n v="2.5999999999999999E-3"/>
    <x v="1"/>
    <x v="2"/>
    <n v="3"/>
    <x v="14"/>
    <n v="10"/>
    <x v="291"/>
    <s v="Fri"/>
  </r>
  <r>
    <x v="310"/>
    <n v="1624.23"/>
    <n v="1594.34"/>
    <n v="1625.23"/>
    <n v="1531"/>
    <n v="1.9400000000000001E-2"/>
    <x v="1"/>
    <x v="2"/>
    <n v="3"/>
    <x v="14"/>
    <n v="11"/>
    <x v="292"/>
    <s v="Mon"/>
  </r>
  <r>
    <x v="311"/>
    <n v="1611.78"/>
    <n v="1625.23"/>
    <n v="1625.23"/>
    <n v="1575.25"/>
    <n v="-7.7000000000000002E-3"/>
    <x v="1"/>
    <x v="2"/>
    <n v="3"/>
    <x v="14"/>
    <n v="11"/>
    <x v="293"/>
    <s v="Tue"/>
  </r>
  <r>
    <x v="312"/>
    <n v="1592.91"/>
    <n v="1612.78"/>
    <n v="1612.78"/>
    <n v="1580.25"/>
    <n v="-1.17E-2"/>
    <x v="1"/>
    <x v="2"/>
    <n v="3"/>
    <x v="14"/>
    <n v="11"/>
    <x v="294"/>
    <s v="Wed"/>
  </r>
  <r>
    <x v="313"/>
    <n v="1590.5"/>
    <n v="1594.5"/>
    <n v="1594.9549999999999"/>
    <n v="1585.5"/>
    <n v="-1.5E-3"/>
    <x v="1"/>
    <x v="2"/>
    <n v="3"/>
    <x v="14"/>
    <n v="11"/>
    <x v="295"/>
    <s v="Thu"/>
  </r>
  <r>
    <x v="314"/>
    <n v="1609.74"/>
    <n v="1591.5"/>
    <n v="1611.87"/>
    <n v="1570.25"/>
    <n v="1.21E-2"/>
    <x v="1"/>
    <x v="2"/>
    <n v="3"/>
    <x v="14"/>
    <n v="11"/>
    <x v="296"/>
    <s v="Fri"/>
  </r>
  <r>
    <x v="315"/>
    <n v="1572.01"/>
    <n v="1610.74"/>
    <n v="1610.74"/>
    <n v="1400.25"/>
    <n v="-2.3400000000000001E-2"/>
    <x v="1"/>
    <x v="2"/>
    <n v="3"/>
    <x v="14"/>
    <n v="12"/>
    <x v="297"/>
    <s v="Mon"/>
  </r>
  <r>
    <x v="316"/>
    <n v="1476.25"/>
    <n v="1573.01"/>
    <n v="1573.5050000000001"/>
    <n v="1477.25"/>
    <n v="-6.0900000000000003E-2"/>
    <x v="1"/>
    <x v="2"/>
    <n v="3"/>
    <x v="14"/>
    <n v="12"/>
    <x v="298"/>
    <s v="Tue"/>
  </r>
  <r>
    <x v="317"/>
    <n v="1561.19"/>
    <n v="1477.25"/>
    <n v="1573.5"/>
    <n v="1420.5"/>
    <n v="5.7500000000000002E-2"/>
    <x v="1"/>
    <x v="2"/>
    <n v="3"/>
    <x v="14"/>
    <n v="12"/>
    <x v="299"/>
    <s v="Wed"/>
  </r>
  <r>
    <x v="318"/>
    <n v="1409.94"/>
    <n v="1562.19"/>
    <n v="1562.19"/>
    <n v="1300.5"/>
    <n v="-9.69E-2"/>
    <x v="1"/>
    <x v="2"/>
    <n v="3"/>
    <x v="14"/>
    <n v="12"/>
    <x v="300"/>
    <s v="Thu"/>
  </r>
  <r>
    <x v="319"/>
    <n v="1447.89"/>
    <n v="1410.94"/>
    <n v="1661"/>
    <n v="1325.5"/>
    <n v="2.69E-2"/>
    <x v="1"/>
    <x v="2"/>
    <n v="3"/>
    <x v="14"/>
    <n v="12"/>
    <x v="301"/>
    <s v="Fri"/>
  </r>
  <r>
    <x v="320"/>
    <n v="1447.89"/>
    <n v="1448.89"/>
    <n v="1661"/>
    <n v="1375.5"/>
    <n v="0"/>
    <x v="1"/>
    <x v="2"/>
    <n v="3"/>
    <x v="14"/>
    <n v="13"/>
    <x v="302"/>
    <s v="Mon"/>
  </r>
  <r>
    <x v="321"/>
    <n v="1404"/>
    <n v="1448.89"/>
    <n v="1577"/>
    <n v="1275.5"/>
    <n v="-3.0300000000000001E-2"/>
    <x v="1"/>
    <x v="2"/>
    <n v="3"/>
    <x v="14"/>
    <n v="13"/>
    <x v="303"/>
    <s v="Tue"/>
  </r>
  <r>
    <x v="322"/>
    <n v="1415.13"/>
    <n v="1405.97"/>
    <n v="1550.5"/>
    <n v="1285.5"/>
    <n v="7.9000000000000008E-3"/>
    <x v="1"/>
    <x v="2"/>
    <n v="3"/>
    <x v="14"/>
    <n v="13"/>
    <x v="304"/>
    <s v="Wed"/>
  </r>
  <r>
    <x v="323"/>
    <n v="1415.13"/>
    <n v="1416.13"/>
    <n v="1420.0650000000001"/>
    <n v="1290"/>
    <n v="0"/>
    <x v="1"/>
    <x v="2"/>
    <n v="3"/>
    <x v="14"/>
    <n v="13"/>
    <x v="305"/>
    <s v="Thu"/>
  </r>
  <r>
    <x v="324"/>
    <n v="1303"/>
    <n v="1416.13"/>
    <n v="1416.13"/>
    <n v="1304.17"/>
    <n v="-7.9200000000000007E-2"/>
    <x v="1"/>
    <x v="2"/>
    <n v="3"/>
    <x v="14"/>
    <n v="13"/>
    <x v="306"/>
    <s v="Fri"/>
  </r>
  <r>
    <x v="325"/>
    <n v="1303.3399999999999"/>
    <n v="1304.3399999999999"/>
    <n v="1304.3399999999999"/>
    <n v="1304.3399999999999"/>
    <n v="2.9999999999999997E-4"/>
    <x v="1"/>
    <x v="3"/>
    <n v="4"/>
    <x v="15"/>
    <n v="14"/>
    <x v="307"/>
    <s v="Mon"/>
  </r>
  <r>
    <x v="326"/>
    <n v="1280"/>
    <n v="1304.3399999999999"/>
    <n v="1450"/>
    <n v="1266"/>
    <n v="-1.7899999999999999E-2"/>
    <x v="1"/>
    <x v="3"/>
    <n v="4"/>
    <x v="15"/>
    <n v="14"/>
    <x v="308"/>
    <s v="Tue"/>
  </r>
  <r>
    <x v="327"/>
    <n v="1350"/>
    <n v="1281"/>
    <n v="1365"/>
    <n v="1230"/>
    <n v="5.4699999999999999E-2"/>
    <x v="1"/>
    <x v="3"/>
    <n v="4"/>
    <x v="15"/>
    <n v="14"/>
    <x v="309"/>
    <s v="Wed"/>
  </r>
  <r>
    <x v="328"/>
    <n v="1350"/>
    <n v="1350"/>
    <n v="1365"/>
    <n v="1251"/>
    <n v="0"/>
    <x v="1"/>
    <x v="3"/>
    <n v="4"/>
    <x v="15"/>
    <n v="14"/>
    <x v="310"/>
    <s v="Thu"/>
  </r>
  <r>
    <x v="329"/>
    <n v="1244.5"/>
    <n v="1350"/>
    <n v="1354.9949999999999"/>
    <n v="1237"/>
    <n v="-7.8100000000000003E-2"/>
    <x v="1"/>
    <x v="3"/>
    <n v="4"/>
    <x v="15"/>
    <n v="14"/>
    <x v="311"/>
    <s v="Fri"/>
  </r>
  <r>
    <x v="330"/>
    <n v="1230"/>
    <n v="1245.5"/>
    <n v="1295"/>
    <n v="1220.5"/>
    <n v="-1.17E-2"/>
    <x v="1"/>
    <x v="3"/>
    <n v="4"/>
    <x v="15"/>
    <n v="15"/>
    <x v="312"/>
    <s v="Mon"/>
  </r>
  <r>
    <x v="331"/>
    <n v="1246.17"/>
    <n v="1231"/>
    <n v="1247.17"/>
    <n v="1231"/>
    <n v="1.3100000000000001E-2"/>
    <x v="1"/>
    <x v="3"/>
    <n v="4"/>
    <x v="15"/>
    <n v="15"/>
    <x v="313"/>
    <s v="Tue"/>
  </r>
  <r>
    <x v="332"/>
    <n v="1230"/>
    <n v="1247.17"/>
    <n v="1247.17"/>
    <n v="1235"/>
    <n v="-1.2999999999999999E-2"/>
    <x v="1"/>
    <x v="3"/>
    <n v="4"/>
    <x v="15"/>
    <n v="15"/>
    <x v="314"/>
    <s v="Wed"/>
  </r>
  <r>
    <x v="333"/>
    <n v="1246.17"/>
    <n v="1247.17"/>
    <n v="1247.17"/>
    <n v="1247.05"/>
    <n v="1.3100000000000001E-2"/>
    <x v="1"/>
    <x v="3"/>
    <n v="4"/>
    <x v="15"/>
    <n v="15"/>
    <x v="315"/>
    <s v="Thu"/>
  </r>
  <r>
    <x v="334"/>
    <n v="1150"/>
    <n v="1247.17"/>
    <n v="1263.085"/>
    <n v="1151"/>
    <n v="-7.7200000000000005E-2"/>
    <x v="1"/>
    <x v="3"/>
    <n v="4"/>
    <x v="15"/>
    <n v="15"/>
    <x v="316"/>
    <s v="Fri"/>
  </r>
  <r>
    <x v="335"/>
    <n v="1150"/>
    <n v="1190"/>
    <n v="1190"/>
    <n v="1143.5"/>
    <n v="0"/>
    <x v="1"/>
    <x v="3"/>
    <n v="4"/>
    <x v="15"/>
    <n v="16"/>
    <x v="317"/>
    <s v="Mon"/>
  </r>
  <r>
    <x v="336"/>
    <n v="1138"/>
    <n v="1151"/>
    <n v="1190"/>
    <n v="1139"/>
    <n v="-1.04E-2"/>
    <x v="1"/>
    <x v="3"/>
    <n v="4"/>
    <x v="15"/>
    <n v="16"/>
    <x v="318"/>
    <s v="Tue"/>
  </r>
  <r>
    <x v="337"/>
    <n v="1160.71"/>
    <n v="1160"/>
    <n v="1172.855"/>
    <n v="1115"/>
    <n v="0.02"/>
    <x v="1"/>
    <x v="3"/>
    <n v="4"/>
    <x v="15"/>
    <n v="16"/>
    <x v="319"/>
    <s v="Wed"/>
  </r>
  <r>
    <x v="338"/>
    <n v="1147.53"/>
    <n v="1161.71"/>
    <n v="1177.855"/>
    <n v="1137.2650000000001"/>
    <n v="-1.14E-2"/>
    <x v="1"/>
    <x v="3"/>
    <n v="4"/>
    <x v="15"/>
    <n v="16"/>
    <x v="320"/>
    <s v="Thu"/>
  </r>
  <r>
    <x v="339"/>
    <n v="1002"/>
    <n v="1148.53"/>
    <n v="1350"/>
    <n v="1002"/>
    <n v="-0.1268"/>
    <x v="1"/>
    <x v="3"/>
    <n v="4"/>
    <x v="15"/>
    <n v="16"/>
    <x v="321"/>
    <s v="Fri"/>
  </r>
  <r>
    <x v="340"/>
    <n v="1230"/>
    <n v="1115"/>
    <n v="1255.5"/>
    <n v="1003"/>
    <n v="0.22750000000000001"/>
    <x v="1"/>
    <x v="3"/>
    <n v="4"/>
    <x v="15"/>
    <n v="17"/>
    <x v="322"/>
    <s v="Mon"/>
  </r>
  <r>
    <x v="341"/>
    <n v="1230"/>
    <n v="1275"/>
    <n v="1310"/>
    <n v="1216"/>
    <n v="0"/>
    <x v="1"/>
    <x v="3"/>
    <n v="4"/>
    <x v="15"/>
    <n v="17"/>
    <x v="323"/>
    <s v="Tue"/>
  </r>
  <r>
    <x v="342"/>
    <n v="1251.05"/>
    <n v="1231"/>
    <n v="1345"/>
    <n v="1231"/>
    <n v="1.7100000000000001E-2"/>
    <x v="1"/>
    <x v="3"/>
    <n v="4"/>
    <x v="15"/>
    <n v="17"/>
    <x v="324"/>
    <s v="Wed"/>
  </r>
  <r>
    <x v="343"/>
    <n v="1277.03"/>
    <n v="1350"/>
    <n v="1400"/>
    <n v="1278.0150000000001"/>
    <n v="2.0799999999999999E-2"/>
    <x v="1"/>
    <x v="3"/>
    <n v="4"/>
    <x v="15"/>
    <n v="17"/>
    <x v="325"/>
    <s v="Thu"/>
  </r>
  <r>
    <x v="344"/>
    <n v="1329.44"/>
    <n v="1278.03"/>
    <n v="1385"/>
    <n v="1278.03"/>
    <n v="4.1000000000000002E-2"/>
    <x v="1"/>
    <x v="3"/>
    <n v="4"/>
    <x v="15"/>
    <n v="17"/>
    <x v="326"/>
    <s v="Fri"/>
  </r>
  <r>
    <x v="345"/>
    <n v="1355"/>
    <n v="1380"/>
    <n v="1390"/>
    <n v="1356"/>
    <n v="1.9199999999999998E-2"/>
    <x v="1"/>
    <x v="3"/>
    <n v="4"/>
    <x v="15"/>
    <n v="18"/>
    <x v="327"/>
    <s v="Mon"/>
  </r>
  <r>
    <x v="346"/>
    <n v="1389"/>
    <n v="1415"/>
    <n v="1415"/>
    <n v="1365"/>
    <n v="2.5100000000000001E-2"/>
    <x v="1"/>
    <x v="3"/>
    <n v="4"/>
    <x v="15"/>
    <n v="18"/>
    <x v="328"/>
    <s v="Tue"/>
  </r>
  <r>
    <x v="347"/>
    <n v="1389"/>
    <n v="1390"/>
    <n v="1394.26"/>
    <n v="1390"/>
    <n v="0"/>
    <x v="1"/>
    <x v="4"/>
    <n v="5"/>
    <x v="16"/>
    <n v="18"/>
    <x v="329"/>
    <s v="Wed"/>
  </r>
  <r>
    <x v="348"/>
    <n v="1349.9"/>
    <n v="1390.52"/>
    <n v="1397.26"/>
    <n v="1350.9"/>
    <n v="-2.81E-2"/>
    <x v="1"/>
    <x v="4"/>
    <n v="5"/>
    <x v="16"/>
    <n v="18"/>
    <x v="330"/>
    <s v="Thu"/>
  </r>
  <r>
    <x v="349"/>
    <n v="1379"/>
    <n v="1350.9"/>
    <n v="1405"/>
    <n v="1345.95"/>
    <n v="2.1600000000000001E-2"/>
    <x v="1"/>
    <x v="4"/>
    <n v="5"/>
    <x v="16"/>
    <n v="18"/>
    <x v="331"/>
    <s v="Fri"/>
  </r>
  <r>
    <x v="350"/>
    <n v="1380"/>
    <n v="1380"/>
    <n v="1406"/>
    <n v="1365.5"/>
    <n v="6.9999999999999999E-4"/>
    <x v="1"/>
    <x v="4"/>
    <n v="5"/>
    <x v="16"/>
    <n v="19"/>
    <x v="332"/>
    <s v="Mon"/>
  </r>
  <r>
    <x v="351"/>
    <n v="1384"/>
    <n v="1381"/>
    <n v="1389"/>
    <n v="1380"/>
    <n v="2.8999999999999998E-3"/>
    <x v="1"/>
    <x v="4"/>
    <n v="5"/>
    <x v="16"/>
    <n v="19"/>
    <x v="333"/>
    <s v="Tue"/>
  </r>
  <r>
    <x v="352"/>
    <n v="1404.8"/>
    <n v="1383.9"/>
    <n v="1430"/>
    <n v="1383.9"/>
    <n v="1.4999999999999999E-2"/>
    <x v="1"/>
    <x v="4"/>
    <n v="5"/>
    <x v="16"/>
    <n v="19"/>
    <x v="334"/>
    <s v="Wed"/>
  </r>
  <r>
    <x v="353"/>
    <n v="1429.05"/>
    <n v="1405.8"/>
    <n v="1455"/>
    <n v="1405.8"/>
    <n v="1.7299999999999999E-2"/>
    <x v="1"/>
    <x v="4"/>
    <n v="5"/>
    <x v="16"/>
    <n v="19"/>
    <x v="335"/>
    <s v="Thu"/>
  </r>
  <r>
    <x v="354"/>
    <n v="1439.8"/>
    <n v="1430.05"/>
    <n v="1465"/>
    <n v="1430.05"/>
    <n v="7.4999999999999997E-3"/>
    <x v="1"/>
    <x v="4"/>
    <n v="5"/>
    <x v="16"/>
    <n v="19"/>
    <x v="336"/>
    <s v="Fri"/>
  </r>
  <r>
    <x v="355"/>
    <n v="1419.9"/>
    <n v="1440.8"/>
    <n v="1475"/>
    <n v="1395"/>
    <n v="-1.38E-2"/>
    <x v="1"/>
    <x v="4"/>
    <n v="5"/>
    <x v="16"/>
    <n v="20"/>
    <x v="337"/>
    <s v="Mon"/>
  </r>
  <r>
    <x v="356"/>
    <n v="1498"/>
    <n v="1420.9"/>
    <n v="1525"/>
    <n v="1382.5"/>
    <n v="5.5E-2"/>
    <x v="1"/>
    <x v="4"/>
    <n v="5"/>
    <x v="16"/>
    <n v="20"/>
    <x v="338"/>
    <s v="Tue"/>
  </r>
  <r>
    <x v="357"/>
    <n v="1519"/>
    <n v="1499"/>
    <n v="1545"/>
    <n v="1475"/>
    <n v="1.4E-2"/>
    <x v="1"/>
    <x v="4"/>
    <n v="5"/>
    <x v="16"/>
    <n v="20"/>
    <x v="339"/>
    <s v="Wed"/>
  </r>
  <r>
    <x v="358"/>
    <n v="1520"/>
    <n v="1520"/>
    <n v="1545"/>
    <n v="1520"/>
    <n v="6.9999999999999999E-4"/>
    <x v="1"/>
    <x v="4"/>
    <n v="5"/>
    <x v="16"/>
    <n v="20"/>
    <x v="340"/>
    <s v="Thu"/>
  </r>
  <r>
    <x v="359"/>
    <n v="1467"/>
    <n v="1521"/>
    <n v="1525"/>
    <n v="1434.5"/>
    <n v="-3.49E-2"/>
    <x v="1"/>
    <x v="4"/>
    <n v="5"/>
    <x v="16"/>
    <n v="20"/>
    <x v="341"/>
    <s v="Fri"/>
  </r>
  <r>
    <x v="360"/>
    <n v="1529.85"/>
    <n v="1468"/>
    <n v="1534.425"/>
    <n v="1456"/>
    <n v="4.2799999999999998E-2"/>
    <x v="1"/>
    <x v="4"/>
    <n v="5"/>
    <x v="16"/>
    <n v="21"/>
    <x v="342"/>
    <s v="Mon"/>
  </r>
  <r>
    <x v="361"/>
    <n v="1415"/>
    <n v="1530.85"/>
    <n v="1530.85"/>
    <n v="1416"/>
    <n v="-7.51E-2"/>
    <x v="1"/>
    <x v="4"/>
    <n v="5"/>
    <x v="16"/>
    <n v="21"/>
    <x v="343"/>
    <s v="Tue"/>
  </r>
  <r>
    <x v="362"/>
    <n v="1440"/>
    <n v="1416"/>
    <n v="1470"/>
    <n v="1416"/>
    <n v="1.77E-2"/>
    <x v="1"/>
    <x v="4"/>
    <n v="5"/>
    <x v="16"/>
    <n v="21"/>
    <x v="344"/>
    <s v="Wed"/>
  </r>
  <r>
    <x v="363"/>
    <n v="1467"/>
    <n v="1440"/>
    <n v="1488.5"/>
    <n v="1415"/>
    <n v="1.8800000000000001E-2"/>
    <x v="1"/>
    <x v="4"/>
    <n v="5"/>
    <x v="16"/>
    <n v="21"/>
    <x v="345"/>
    <s v="Thu"/>
  </r>
  <r>
    <x v="364"/>
    <n v="1474"/>
    <n v="1468"/>
    <n v="1480"/>
    <n v="1467"/>
    <n v="4.7999999999999996E-3"/>
    <x v="1"/>
    <x v="4"/>
    <n v="5"/>
    <x v="16"/>
    <n v="21"/>
    <x v="346"/>
    <s v="Fri"/>
  </r>
  <r>
    <x v="365"/>
    <n v="1474"/>
    <n v="1475"/>
    <n v="1507.5"/>
    <n v="1468"/>
    <n v="0"/>
    <x v="1"/>
    <x v="4"/>
    <n v="5"/>
    <x v="16"/>
    <n v="22"/>
    <x v="347"/>
    <s v="Mon"/>
  </r>
  <r>
    <x v="366"/>
    <n v="1301"/>
    <n v="1475"/>
    <n v="1485"/>
    <n v="1301.5"/>
    <n v="-0.1174"/>
    <x v="1"/>
    <x v="4"/>
    <n v="5"/>
    <x v="16"/>
    <n v="22"/>
    <x v="348"/>
    <s v="Tue"/>
  </r>
  <r>
    <x v="367"/>
    <n v="1320"/>
    <n v="1380"/>
    <n v="1435"/>
    <n v="1305.5"/>
    <n v="1.46E-2"/>
    <x v="1"/>
    <x v="4"/>
    <n v="5"/>
    <x v="16"/>
    <n v="22"/>
    <x v="349"/>
    <s v="Wed"/>
  </r>
  <r>
    <x v="368"/>
    <n v="1196.0999999999999"/>
    <n v="1321"/>
    <n v="1495"/>
    <n v="1197.05"/>
    <n v="-9.3899999999999997E-2"/>
    <x v="1"/>
    <x v="4"/>
    <n v="5"/>
    <x v="16"/>
    <n v="22"/>
    <x v="350"/>
    <s v="Thu"/>
  </r>
  <r>
    <x v="369"/>
    <n v="1484"/>
    <n v="1197.0999999999999"/>
    <n v="1510"/>
    <n v="1197.05"/>
    <n v="0.2407"/>
    <x v="1"/>
    <x v="4"/>
    <n v="5"/>
    <x v="16"/>
    <n v="22"/>
    <x v="351"/>
    <s v="Fri"/>
  </r>
  <r>
    <x v="370"/>
    <n v="1482"/>
    <n v="1485"/>
    <n v="1507"/>
    <n v="1462.24"/>
    <n v="-1.2999999999999999E-3"/>
    <x v="1"/>
    <x v="5"/>
    <n v="6"/>
    <x v="17"/>
    <n v="23"/>
    <x v="352"/>
    <s v="Mon"/>
  </r>
  <r>
    <x v="371"/>
    <n v="1500"/>
    <n v="1483.48"/>
    <n v="1516.24"/>
    <n v="1450.4"/>
    <n v="1.21E-2"/>
    <x v="1"/>
    <x v="5"/>
    <n v="6"/>
    <x v="17"/>
    <n v="23"/>
    <x v="353"/>
    <s v="Tue"/>
  </r>
  <r>
    <x v="372"/>
    <n v="1500"/>
    <n v="1500"/>
    <n v="1516"/>
    <n v="1450.8"/>
    <n v="0"/>
    <x v="1"/>
    <x v="5"/>
    <n v="6"/>
    <x v="17"/>
    <n v="23"/>
    <x v="354"/>
    <s v="Wed"/>
  </r>
  <r>
    <x v="373"/>
    <n v="1500"/>
    <n v="1500"/>
    <n v="1516"/>
    <n v="1451"/>
    <n v="0"/>
    <x v="1"/>
    <x v="5"/>
    <n v="6"/>
    <x v="17"/>
    <n v="23"/>
    <x v="355"/>
    <s v="Thu"/>
  </r>
  <r>
    <x v="374"/>
    <n v="1450"/>
    <n v="1500"/>
    <n v="1517.41"/>
    <n v="1439.585"/>
    <n v="-3.3300000000000003E-2"/>
    <x v="1"/>
    <x v="5"/>
    <n v="6"/>
    <x v="17"/>
    <n v="23"/>
    <x v="356"/>
    <s v="Fri"/>
  </r>
  <r>
    <x v="375"/>
    <n v="1510"/>
    <n v="1485.82"/>
    <n v="1519.91"/>
    <n v="1433.4"/>
    <n v="4.1399999999999999E-2"/>
    <x v="1"/>
    <x v="5"/>
    <n v="6"/>
    <x v="17"/>
    <n v="24"/>
    <x v="357"/>
    <s v="Mon"/>
  </r>
  <r>
    <x v="376"/>
    <n v="1525"/>
    <n v="1510"/>
    <n v="1525.32"/>
    <n v="1458.4"/>
    <n v="9.9000000000000008E-3"/>
    <x v="1"/>
    <x v="5"/>
    <n v="6"/>
    <x v="17"/>
    <n v="24"/>
    <x v="358"/>
    <s v="Tue"/>
  </r>
  <r>
    <x v="377"/>
    <n v="1525"/>
    <n v="1525"/>
    <n v="1525.5"/>
    <n v="1481.0250000000001"/>
    <n v="0"/>
    <x v="1"/>
    <x v="5"/>
    <n v="6"/>
    <x v="17"/>
    <n v="24"/>
    <x v="359"/>
    <s v="Wed"/>
  </r>
  <r>
    <x v="378"/>
    <n v="1525"/>
    <n v="1525"/>
    <n v="1525.0250000000001"/>
    <n v="1466"/>
    <n v="0"/>
    <x v="1"/>
    <x v="5"/>
    <n v="6"/>
    <x v="17"/>
    <n v="24"/>
    <x v="360"/>
    <s v="Thu"/>
  </r>
  <r>
    <x v="379"/>
    <n v="1505"/>
    <n v="1525"/>
    <n v="1525.82"/>
    <n v="1470"/>
    <n v="-1.3100000000000001E-2"/>
    <x v="1"/>
    <x v="5"/>
    <n v="6"/>
    <x v="17"/>
    <n v="24"/>
    <x v="361"/>
    <s v="Fri"/>
  </r>
  <r>
    <x v="380"/>
    <n v="1481.64"/>
    <n v="1482.64"/>
    <n v="1486.32"/>
    <n v="1482.32"/>
    <n v="-1.55E-2"/>
    <x v="1"/>
    <x v="5"/>
    <n v="6"/>
    <x v="17"/>
    <n v="25"/>
    <x v="362"/>
    <s v="Mon"/>
  </r>
  <r>
    <x v="381"/>
    <n v="1495"/>
    <n v="1505"/>
    <n v="1510.82"/>
    <n v="1471.82"/>
    <n v="8.9999999999999993E-3"/>
    <x v="1"/>
    <x v="5"/>
    <n v="6"/>
    <x v="17"/>
    <n v="25"/>
    <x v="363"/>
    <s v="Tue"/>
  </r>
  <r>
    <x v="382"/>
    <n v="1495"/>
    <n v="1495"/>
    <n v="1505.82"/>
    <n v="1462.5"/>
    <n v="0"/>
    <x v="1"/>
    <x v="5"/>
    <n v="6"/>
    <x v="17"/>
    <n v="25"/>
    <x v="364"/>
    <s v="Wed"/>
  </r>
  <r>
    <x v="383"/>
    <n v="1495"/>
    <n v="1495"/>
    <n v="1505.5"/>
    <n v="1470"/>
    <n v="0"/>
    <x v="1"/>
    <x v="5"/>
    <n v="6"/>
    <x v="17"/>
    <n v="25"/>
    <x v="362"/>
    <s v="Thu"/>
  </r>
  <r>
    <x v="384"/>
    <n v="1515"/>
    <n v="1495"/>
    <n v="1516.15"/>
    <n v="1467.5"/>
    <n v="1.34E-2"/>
    <x v="1"/>
    <x v="5"/>
    <n v="6"/>
    <x v="17"/>
    <n v="25"/>
    <x v="365"/>
    <s v="Fri"/>
  </r>
  <r>
    <x v="385"/>
    <n v="1515"/>
    <n v="1515"/>
    <n v="1516.15"/>
    <n v="1470.7550000000001"/>
    <n v="0"/>
    <x v="1"/>
    <x v="5"/>
    <n v="6"/>
    <x v="17"/>
    <n v="26"/>
    <x v="366"/>
    <s v="Mon"/>
  </r>
  <r>
    <x v="386"/>
    <n v="1525"/>
    <n v="1515"/>
    <n v="1525"/>
    <n v="1465"/>
    <n v="6.6E-3"/>
    <x v="1"/>
    <x v="5"/>
    <n v="6"/>
    <x v="17"/>
    <n v="26"/>
    <x v="362"/>
    <s v="Tue"/>
  </r>
  <r>
    <x v="387"/>
    <n v="1525"/>
    <n v="1525"/>
    <n v="1526.68"/>
    <n v="1485"/>
    <n v="0"/>
    <x v="1"/>
    <x v="5"/>
    <n v="6"/>
    <x v="17"/>
    <n v="26"/>
    <x v="367"/>
    <s v="Wed"/>
  </r>
  <r>
    <x v="388"/>
    <n v="1525"/>
    <n v="1525"/>
    <n v="1535"/>
    <n v="1478.5"/>
    <n v="0"/>
    <x v="1"/>
    <x v="5"/>
    <n v="6"/>
    <x v="17"/>
    <n v="26"/>
    <x v="368"/>
    <s v="Thu"/>
  </r>
  <r>
    <x v="389"/>
    <n v="1525"/>
    <n v="1525"/>
    <n v="1533.865"/>
    <n v="1478.5"/>
    <n v="0"/>
    <x v="1"/>
    <x v="5"/>
    <n v="6"/>
    <x v="17"/>
    <n v="26"/>
    <x v="369"/>
    <s v="Fri"/>
  </r>
  <r>
    <x v="390"/>
    <n v="1525"/>
    <n v="1513.73"/>
    <n v="1533.865"/>
    <n v="1465.845"/>
    <n v="0"/>
    <x v="1"/>
    <x v="6"/>
    <n v="7"/>
    <x v="18"/>
    <n v="27"/>
    <x v="370"/>
    <s v="Mon"/>
  </r>
  <r>
    <x v="391"/>
    <n v="1535"/>
    <n v="1525"/>
    <n v="1535"/>
    <n v="1470.345"/>
    <n v="6.6E-3"/>
    <x v="1"/>
    <x v="6"/>
    <n v="7"/>
    <x v="18"/>
    <n v="27"/>
    <x v="371"/>
    <s v="Tue"/>
  </r>
  <r>
    <x v="392"/>
    <n v="1535"/>
    <n v="1535"/>
    <n v="1537.925"/>
    <n v="1474"/>
    <n v="0"/>
    <x v="1"/>
    <x v="6"/>
    <n v="7"/>
    <x v="18"/>
    <n v="27"/>
    <x v="372"/>
    <s v="Wed"/>
  </r>
  <r>
    <x v="393"/>
    <n v="1535"/>
    <n v="1535"/>
    <n v="1537.925"/>
    <n v="1502.925"/>
    <n v="0"/>
    <x v="1"/>
    <x v="6"/>
    <n v="7"/>
    <x v="18"/>
    <n v="27"/>
    <x v="373"/>
    <s v="Thu"/>
  </r>
  <r>
    <x v="394"/>
    <n v="1535"/>
    <n v="1535"/>
    <n v="1540.175"/>
    <n v="1474"/>
    <n v="0"/>
    <x v="1"/>
    <x v="6"/>
    <n v="7"/>
    <x v="18"/>
    <n v="27"/>
    <x v="374"/>
    <s v="Fri"/>
  </r>
  <r>
    <x v="395"/>
    <n v="1535"/>
    <n v="1535"/>
    <n v="1540.175"/>
    <n v="1469.5"/>
    <n v="0"/>
    <x v="1"/>
    <x v="6"/>
    <n v="7"/>
    <x v="18"/>
    <n v="28"/>
    <x v="375"/>
    <s v="Mon"/>
  </r>
  <r>
    <x v="396"/>
    <n v="1535"/>
    <n v="1535"/>
    <n v="1544.25"/>
    <n v="1505.9"/>
    <n v="0"/>
    <x v="1"/>
    <x v="6"/>
    <n v="7"/>
    <x v="18"/>
    <n v="28"/>
    <x v="376"/>
    <s v="Tue"/>
  </r>
  <r>
    <x v="397"/>
    <n v="1590"/>
    <n v="1535"/>
    <n v="1590"/>
    <n v="1474"/>
    <n v="3.5799999999999998E-2"/>
    <x v="1"/>
    <x v="6"/>
    <n v="7"/>
    <x v="18"/>
    <n v="28"/>
    <x v="377"/>
    <s v="Wed"/>
  </r>
  <r>
    <x v="398"/>
    <n v="1600"/>
    <n v="1590"/>
    <n v="1612"/>
    <n v="1474"/>
    <n v="6.3E-3"/>
    <x v="1"/>
    <x v="6"/>
    <n v="7"/>
    <x v="18"/>
    <n v="28"/>
    <x v="378"/>
    <s v="Thu"/>
  </r>
  <r>
    <x v="399"/>
    <n v="1600"/>
    <n v="1600"/>
    <n v="1605.25"/>
    <n v="1550.875"/>
    <n v="0"/>
    <x v="1"/>
    <x v="6"/>
    <n v="7"/>
    <x v="18"/>
    <n v="28"/>
    <x v="379"/>
    <s v="Fri"/>
  </r>
  <r>
    <x v="400"/>
    <n v="1600"/>
    <n v="1600"/>
    <n v="1607.5"/>
    <n v="1550.875"/>
    <n v="0"/>
    <x v="1"/>
    <x v="6"/>
    <n v="7"/>
    <x v="18"/>
    <n v="29"/>
    <x v="380"/>
    <s v="Mon"/>
  </r>
  <r>
    <x v="401"/>
    <n v="1595"/>
    <n v="1600"/>
    <n v="1602.8050000000001"/>
    <n v="1513.5"/>
    <n v="-3.0999999999999999E-3"/>
    <x v="1"/>
    <x v="6"/>
    <n v="7"/>
    <x v="18"/>
    <n v="29"/>
    <x v="381"/>
    <s v="Tue"/>
  </r>
  <r>
    <x v="402"/>
    <n v="1595"/>
    <n v="1595"/>
    <n v="1615"/>
    <n v="1556"/>
    <n v="0"/>
    <x v="1"/>
    <x v="6"/>
    <n v="7"/>
    <x v="18"/>
    <n v="29"/>
    <x v="382"/>
    <s v="Wed"/>
  </r>
  <r>
    <x v="403"/>
    <n v="1620"/>
    <n v="1595"/>
    <n v="1660"/>
    <n v="1564.7449999999999"/>
    <n v="1.5699999999999999E-2"/>
    <x v="1"/>
    <x v="6"/>
    <n v="7"/>
    <x v="18"/>
    <n v="29"/>
    <x v="383"/>
    <s v="Thu"/>
  </r>
  <r>
    <x v="404"/>
    <n v="1625"/>
    <n v="1620"/>
    <n v="1637.5"/>
    <n v="1574.45"/>
    <n v="3.0999999999999999E-3"/>
    <x v="1"/>
    <x v="6"/>
    <n v="7"/>
    <x v="18"/>
    <n v="29"/>
    <x v="384"/>
    <s v="Fri"/>
  </r>
  <r>
    <x v="405"/>
    <n v="1625"/>
    <n v="1585.8"/>
    <n v="1625"/>
    <n v="1562.5"/>
    <n v="0"/>
    <x v="1"/>
    <x v="6"/>
    <n v="7"/>
    <x v="18"/>
    <n v="30"/>
    <x v="385"/>
    <s v="Mon"/>
  </r>
  <r>
    <x v="406"/>
    <n v="1625"/>
    <n v="1625"/>
    <n v="1625"/>
    <n v="1510"/>
    <n v="0"/>
    <x v="1"/>
    <x v="6"/>
    <n v="7"/>
    <x v="18"/>
    <n v="30"/>
    <x v="386"/>
    <s v="Tue"/>
  </r>
  <r>
    <x v="407"/>
    <n v="1620"/>
    <n v="1625"/>
    <n v="1625"/>
    <n v="1534.2750000000001"/>
    <n v="-3.0999999999999999E-3"/>
    <x v="1"/>
    <x v="6"/>
    <n v="7"/>
    <x v="18"/>
    <n v="30"/>
    <x v="387"/>
    <s v="Wed"/>
  </r>
  <r>
    <x v="408"/>
    <n v="1620"/>
    <n v="1620"/>
    <n v="1622.5"/>
    <n v="1305"/>
    <n v="0"/>
    <x v="1"/>
    <x v="6"/>
    <n v="7"/>
    <x v="18"/>
    <n v="30"/>
    <x v="388"/>
    <s v="Thu"/>
  </r>
  <r>
    <x v="409"/>
    <n v="1620"/>
    <n v="1620"/>
    <n v="1629.4449999999999"/>
    <n v="1542.09"/>
    <n v="0"/>
    <x v="1"/>
    <x v="6"/>
    <n v="7"/>
    <x v="18"/>
    <n v="30"/>
    <x v="389"/>
    <s v="Fri"/>
  </r>
  <r>
    <x v="410"/>
    <n v="1620"/>
    <n v="1620"/>
    <n v="1630.68"/>
    <n v="1550.5"/>
    <n v="0"/>
    <x v="1"/>
    <x v="6"/>
    <n v="7"/>
    <x v="18"/>
    <n v="31"/>
    <x v="389"/>
    <s v="Mon"/>
  </r>
  <r>
    <x v="411"/>
    <n v="1660"/>
    <n v="1620"/>
    <n v="1660"/>
    <n v="1591.68"/>
    <n v="2.47E-2"/>
    <x v="1"/>
    <x v="6"/>
    <n v="7"/>
    <x v="18"/>
    <n v="31"/>
    <x v="390"/>
    <s v="Tue"/>
  </r>
  <r>
    <x v="412"/>
    <n v="1660"/>
    <n v="1660"/>
    <n v="1670"/>
    <n v="1605"/>
    <n v="0"/>
    <x v="1"/>
    <x v="6"/>
    <n v="7"/>
    <x v="18"/>
    <n v="31"/>
    <x v="391"/>
    <s v="Wed"/>
  </r>
  <r>
    <x v="413"/>
    <n v="1660"/>
    <n v="1660"/>
    <n v="1665"/>
    <n v="1608.46"/>
    <n v="0"/>
    <x v="1"/>
    <x v="7"/>
    <n v="8"/>
    <x v="19"/>
    <n v="31"/>
    <x v="392"/>
    <s v="Thu"/>
  </r>
  <r>
    <x v="414"/>
    <n v="1580"/>
    <n v="1660"/>
    <n v="1662.5"/>
    <n v="1580"/>
    <n v="-4.82E-2"/>
    <x v="1"/>
    <x v="7"/>
    <n v="8"/>
    <x v="19"/>
    <n v="31"/>
    <x v="393"/>
    <s v="Fri"/>
  </r>
  <r>
    <x v="415"/>
    <n v="1580"/>
    <n v="1580"/>
    <n v="1618.355"/>
    <n v="1560"/>
    <n v="0"/>
    <x v="1"/>
    <x v="7"/>
    <n v="8"/>
    <x v="19"/>
    <n v="32"/>
    <x v="394"/>
    <s v="Mon"/>
  </r>
  <r>
    <x v="416"/>
    <n v="1580"/>
    <n v="1580"/>
    <n v="1630.855"/>
    <n v="1579.26"/>
    <n v="0"/>
    <x v="1"/>
    <x v="7"/>
    <n v="8"/>
    <x v="19"/>
    <n v="32"/>
    <x v="395"/>
    <s v="Tue"/>
  </r>
  <r>
    <x v="417"/>
    <n v="1555"/>
    <n v="1580"/>
    <n v="1618.26"/>
    <n v="1510"/>
    <n v="-1.5800000000000002E-2"/>
    <x v="1"/>
    <x v="7"/>
    <n v="8"/>
    <x v="19"/>
    <n v="32"/>
    <x v="396"/>
    <s v="Wed"/>
  </r>
  <r>
    <x v="418"/>
    <n v="1590"/>
    <n v="1555"/>
    <n v="1627.76"/>
    <n v="1535"/>
    <n v="2.2499999999999999E-2"/>
    <x v="1"/>
    <x v="7"/>
    <n v="8"/>
    <x v="19"/>
    <n v="32"/>
    <x v="397"/>
    <s v="Thu"/>
  </r>
  <r>
    <x v="419"/>
    <n v="1583.03"/>
    <n v="1590"/>
    <n v="1633.04"/>
    <n v="1555"/>
    <n v="-4.4000000000000003E-3"/>
    <x v="1"/>
    <x v="7"/>
    <n v="8"/>
    <x v="19"/>
    <n v="32"/>
    <x v="398"/>
    <s v="Fri"/>
  </r>
  <r>
    <x v="420"/>
    <n v="1590"/>
    <n v="1590"/>
    <n v="1616.5150000000001"/>
    <n v="1555"/>
    <n v="4.4000000000000003E-3"/>
    <x v="1"/>
    <x v="7"/>
    <n v="8"/>
    <x v="19"/>
    <n v="33"/>
    <x v="399"/>
    <s v="Mon"/>
  </r>
  <r>
    <x v="421"/>
    <n v="1590"/>
    <n v="1590"/>
    <n v="1611.51"/>
    <n v="1552.5"/>
    <n v="0"/>
    <x v="1"/>
    <x v="7"/>
    <n v="8"/>
    <x v="19"/>
    <n v="33"/>
    <x v="400"/>
    <s v="Tue"/>
  </r>
  <r>
    <x v="422"/>
    <n v="1590"/>
    <n v="1590"/>
    <n v="1615"/>
    <n v="1555.0250000000001"/>
    <n v="0"/>
    <x v="1"/>
    <x v="7"/>
    <n v="8"/>
    <x v="19"/>
    <n v="33"/>
    <x v="401"/>
    <s v="Wed"/>
  </r>
  <r>
    <x v="423"/>
    <n v="1590"/>
    <n v="1590"/>
    <n v="1609.885"/>
    <n v="1557.7"/>
    <n v="0"/>
    <x v="1"/>
    <x v="7"/>
    <n v="8"/>
    <x v="19"/>
    <n v="33"/>
    <x v="402"/>
    <s v="Thu"/>
  </r>
  <r>
    <x v="424"/>
    <n v="1590"/>
    <n v="1590"/>
    <n v="1622.17"/>
    <n v="1560.885"/>
    <n v="0"/>
    <x v="1"/>
    <x v="7"/>
    <n v="8"/>
    <x v="19"/>
    <n v="33"/>
    <x v="403"/>
    <s v="Fri"/>
  </r>
  <r>
    <x v="425"/>
    <n v="1590"/>
    <n v="1585.34"/>
    <n v="1624.67"/>
    <n v="1557.5"/>
    <n v="0"/>
    <x v="1"/>
    <x v="7"/>
    <n v="8"/>
    <x v="19"/>
    <n v="34"/>
    <x v="403"/>
    <s v="Mon"/>
  </r>
  <r>
    <x v="426"/>
    <n v="1575"/>
    <n v="1590"/>
    <n v="1608.885"/>
    <n v="1558.345"/>
    <n v="-9.4000000000000004E-3"/>
    <x v="1"/>
    <x v="7"/>
    <n v="8"/>
    <x v="19"/>
    <n v="34"/>
    <x v="382"/>
    <s v="Tue"/>
  </r>
  <r>
    <x v="427"/>
    <n v="1575"/>
    <n v="1575.69"/>
    <n v="1606.175"/>
    <n v="1563.345"/>
    <n v="0"/>
    <x v="1"/>
    <x v="7"/>
    <n v="8"/>
    <x v="19"/>
    <n v="34"/>
    <x v="404"/>
    <s v="Wed"/>
  </r>
  <r>
    <x v="428"/>
    <n v="1575"/>
    <n v="1575"/>
    <n v="1600"/>
    <n v="1560.5150000000001"/>
    <n v="0"/>
    <x v="1"/>
    <x v="7"/>
    <n v="8"/>
    <x v="19"/>
    <n v="34"/>
    <x v="405"/>
    <s v="Thu"/>
  </r>
  <r>
    <x v="429"/>
    <n v="1575"/>
    <n v="1575"/>
    <n v="1608.4849999999999"/>
    <n v="1560.5150000000001"/>
    <n v="0"/>
    <x v="1"/>
    <x v="7"/>
    <n v="8"/>
    <x v="19"/>
    <n v="34"/>
    <x v="406"/>
    <s v="Fri"/>
  </r>
  <r>
    <x v="430"/>
    <n v="1590"/>
    <n v="1592.97"/>
    <n v="1603.4849999999999"/>
    <n v="1569.07"/>
    <n v="9.4999999999999998E-3"/>
    <x v="1"/>
    <x v="7"/>
    <n v="8"/>
    <x v="19"/>
    <n v="35"/>
    <x v="406"/>
    <s v="Mon"/>
  </r>
  <r>
    <x v="431"/>
    <n v="1590"/>
    <n v="1590"/>
    <n v="1610"/>
    <n v="1576.57"/>
    <n v="0"/>
    <x v="1"/>
    <x v="7"/>
    <n v="8"/>
    <x v="19"/>
    <n v="35"/>
    <x v="406"/>
    <s v="Tue"/>
  </r>
  <r>
    <x v="432"/>
    <n v="1590"/>
    <n v="1590"/>
    <n v="1612.5"/>
    <n v="1576.57"/>
    <n v="0"/>
    <x v="1"/>
    <x v="7"/>
    <n v="8"/>
    <x v="19"/>
    <n v="35"/>
    <x v="406"/>
    <s v="Wed"/>
  </r>
  <r>
    <x v="433"/>
    <n v="1590"/>
    <n v="1590"/>
    <n v="1611.4"/>
    <n v="1579.075"/>
    <n v="0"/>
    <x v="1"/>
    <x v="7"/>
    <n v="8"/>
    <x v="19"/>
    <n v="35"/>
    <x v="405"/>
    <s v="Thu"/>
  </r>
  <r>
    <x v="434"/>
    <n v="1590"/>
    <n v="1590"/>
    <n v="1608.9"/>
    <n v="1582.32"/>
    <n v="0"/>
    <x v="1"/>
    <x v="7"/>
    <n v="8"/>
    <x v="19"/>
    <n v="35"/>
    <x v="404"/>
    <s v="Fri"/>
  </r>
  <r>
    <x v="435"/>
    <n v="1590"/>
    <n v="1598.64"/>
    <n v="1606.32"/>
    <n v="1582.32"/>
    <n v="0"/>
    <x v="1"/>
    <x v="8"/>
    <n v="9"/>
    <x v="20"/>
    <n v="36"/>
    <x v="382"/>
    <s v="Mon"/>
  </r>
  <r>
    <x v="436"/>
    <n v="1590"/>
    <n v="1590"/>
    <n v="1610"/>
    <n v="1582.135"/>
    <n v="0"/>
    <x v="1"/>
    <x v="8"/>
    <n v="9"/>
    <x v="20"/>
    <n v="36"/>
    <x v="407"/>
    <s v="Tue"/>
  </r>
  <r>
    <x v="437"/>
    <n v="1605"/>
    <n v="1590"/>
    <n v="1617.5"/>
    <n v="1580.5350000000001"/>
    <n v="9.4000000000000004E-3"/>
    <x v="1"/>
    <x v="8"/>
    <n v="9"/>
    <x v="20"/>
    <n v="36"/>
    <x v="408"/>
    <s v="Wed"/>
  </r>
  <r>
    <x v="438"/>
    <n v="1605"/>
    <n v="1605"/>
    <n v="1625.375"/>
    <n v="1588.0350000000001"/>
    <n v="0"/>
    <x v="1"/>
    <x v="8"/>
    <n v="9"/>
    <x v="20"/>
    <n v="36"/>
    <x v="409"/>
    <s v="Thu"/>
  </r>
  <r>
    <x v="439"/>
    <n v="1605"/>
    <n v="1605"/>
    <n v="1640"/>
    <n v="1601.01"/>
    <n v="0"/>
    <x v="1"/>
    <x v="8"/>
    <n v="9"/>
    <x v="20"/>
    <n v="36"/>
    <x v="410"/>
    <s v="Fri"/>
  </r>
  <r>
    <x v="440"/>
    <n v="1645"/>
    <n v="1621.02"/>
    <n v="1649.325"/>
    <n v="1600"/>
    <n v="2.4899999999999999E-2"/>
    <x v="1"/>
    <x v="8"/>
    <n v="9"/>
    <x v="20"/>
    <n v="37"/>
    <x v="411"/>
    <s v="Mon"/>
  </r>
  <r>
    <x v="441"/>
    <n v="1645"/>
    <n v="1645"/>
    <n v="1649.325"/>
    <n v="1592.5"/>
    <n v="0"/>
    <x v="1"/>
    <x v="8"/>
    <n v="9"/>
    <x v="20"/>
    <n v="37"/>
    <x v="386"/>
    <s v="Tue"/>
  </r>
  <r>
    <x v="442"/>
    <n v="1655"/>
    <n v="1645"/>
    <n v="1655"/>
    <n v="1606.7249999999999"/>
    <n v="6.1000000000000004E-3"/>
    <x v="1"/>
    <x v="8"/>
    <n v="9"/>
    <x v="20"/>
    <n v="37"/>
    <x v="412"/>
    <s v="Wed"/>
  </r>
  <r>
    <x v="443"/>
    <n v="1655"/>
    <n v="1655"/>
    <n v="1665"/>
    <n v="1497.5"/>
    <n v="0"/>
    <x v="1"/>
    <x v="8"/>
    <n v="9"/>
    <x v="20"/>
    <n v="37"/>
    <x v="413"/>
    <s v="Thu"/>
  </r>
  <r>
    <x v="444"/>
    <n v="1639.2"/>
    <n v="1655"/>
    <n v="1662.5650000000001"/>
    <n v="1581.21"/>
    <n v="-9.4999999999999998E-3"/>
    <x v="1"/>
    <x v="8"/>
    <n v="9"/>
    <x v="20"/>
    <n v="37"/>
    <x v="414"/>
    <s v="Fri"/>
  </r>
  <r>
    <x v="445"/>
    <n v="1639.2"/>
    <n v="1646.13"/>
    <n v="1655.0650000000001"/>
    <n v="1630.665"/>
    <n v="0"/>
    <x v="1"/>
    <x v="8"/>
    <n v="9"/>
    <x v="20"/>
    <n v="38"/>
    <x v="415"/>
    <s v="Mon"/>
  </r>
  <r>
    <x v="446"/>
    <n v="1639.2"/>
    <n v="1639.2"/>
    <n v="1657.1"/>
    <n v="1512.5"/>
    <n v="0"/>
    <x v="1"/>
    <x v="8"/>
    <n v="9"/>
    <x v="20"/>
    <n v="38"/>
    <x v="416"/>
    <s v="Tue"/>
  </r>
  <r>
    <x v="447"/>
    <n v="1639.2"/>
    <n v="1639.2"/>
    <n v="1661.87"/>
    <n v="1617.5"/>
    <n v="0"/>
    <x v="1"/>
    <x v="8"/>
    <n v="9"/>
    <x v="20"/>
    <n v="38"/>
    <x v="417"/>
    <s v="Wed"/>
  </r>
  <r>
    <x v="448"/>
    <n v="1639.2"/>
    <n v="1639.2"/>
    <n v="1659.37"/>
    <n v="1594.37"/>
    <n v="0"/>
    <x v="1"/>
    <x v="8"/>
    <n v="9"/>
    <x v="20"/>
    <n v="38"/>
    <x v="418"/>
    <s v="Thu"/>
  </r>
  <r>
    <x v="449"/>
    <n v="1639.2"/>
    <n v="1639.2"/>
    <n v="1660"/>
    <n v="1594.37"/>
    <n v="0"/>
    <x v="1"/>
    <x v="8"/>
    <n v="9"/>
    <x v="20"/>
    <n v="38"/>
    <x v="419"/>
    <s v="Fri"/>
  </r>
  <r>
    <x v="450"/>
    <n v="1639.2"/>
    <n v="1639.2"/>
    <n v="1660"/>
    <n v="1547.5250000000001"/>
    <n v="0"/>
    <x v="1"/>
    <x v="8"/>
    <n v="9"/>
    <x v="20"/>
    <n v="39"/>
    <x v="420"/>
    <s v="Mon"/>
  </r>
  <r>
    <x v="451"/>
    <n v="1596.98"/>
    <n v="1639.2"/>
    <n v="1639.2"/>
    <n v="1594.07"/>
    <n v="-2.58E-2"/>
    <x v="1"/>
    <x v="8"/>
    <n v="9"/>
    <x v="20"/>
    <n v="39"/>
    <x v="421"/>
    <s v="Tue"/>
  </r>
  <r>
    <x v="452"/>
    <n v="1653.27"/>
    <n v="1597.98"/>
    <n v="1674"/>
    <n v="1597.98"/>
    <n v="3.5200000000000002E-2"/>
    <x v="1"/>
    <x v="8"/>
    <n v="9"/>
    <x v="20"/>
    <n v="39"/>
    <x v="422"/>
    <s v="Wed"/>
  </r>
  <r>
    <x v="453"/>
    <n v="1653.27"/>
    <n v="1653.27"/>
    <n v="1680"/>
    <n v="1597.98"/>
    <n v="0"/>
    <x v="1"/>
    <x v="8"/>
    <n v="9"/>
    <x v="20"/>
    <n v="39"/>
    <x v="423"/>
    <s v="Thu"/>
  </r>
  <r>
    <x v="454"/>
    <n v="1668.97"/>
    <n v="1653.27"/>
    <n v="1680.095"/>
    <n v="1631.635"/>
    <n v="9.4999999999999998E-3"/>
    <x v="1"/>
    <x v="8"/>
    <n v="9"/>
    <x v="20"/>
    <n v="39"/>
    <x v="424"/>
    <s v="Fri"/>
  </r>
  <r>
    <x v="455"/>
    <n v="1668.97"/>
    <n v="1668.97"/>
    <n v="1683.11"/>
    <n v="1635"/>
    <n v="0"/>
    <x v="1"/>
    <x v="8"/>
    <n v="9"/>
    <x v="20"/>
    <n v="40"/>
    <x v="425"/>
    <s v="Mon"/>
  </r>
  <r>
    <x v="456"/>
    <n v="1668.97"/>
    <n v="1668.97"/>
    <n v="1673.4849999999999"/>
    <n v="1601.53"/>
    <n v="0"/>
    <x v="1"/>
    <x v="9"/>
    <n v="10"/>
    <x v="21"/>
    <n v="40"/>
    <x v="426"/>
    <s v="Tue"/>
  </r>
  <r>
    <x v="457"/>
    <n v="1668.97"/>
    <n v="1668.97"/>
    <n v="1668.97"/>
    <n v="1601.53"/>
    <n v="0"/>
    <x v="1"/>
    <x v="9"/>
    <n v="10"/>
    <x v="21"/>
    <n v="40"/>
    <x v="427"/>
    <s v="Wed"/>
  </r>
  <r>
    <x v="458"/>
    <n v="1645"/>
    <n v="1668.97"/>
    <n v="1690.0550000000001"/>
    <n v="1601.53"/>
    <n v="-1.44E-2"/>
    <x v="1"/>
    <x v="9"/>
    <n v="10"/>
    <x v="21"/>
    <n v="40"/>
    <x v="428"/>
    <s v="Thu"/>
  </r>
  <r>
    <x v="459"/>
    <n v="1620"/>
    <n v="1645"/>
    <n v="1663.5550000000001"/>
    <n v="1605"/>
    <n v="-1.52E-2"/>
    <x v="1"/>
    <x v="9"/>
    <n v="10"/>
    <x v="21"/>
    <n v="40"/>
    <x v="429"/>
    <s v="Fri"/>
  </r>
  <r>
    <x v="460"/>
    <n v="1620"/>
    <n v="1657.86"/>
    <n v="1657.86"/>
    <n v="1607.5"/>
    <n v="0"/>
    <x v="1"/>
    <x v="9"/>
    <n v="10"/>
    <x v="21"/>
    <n v="41"/>
    <x v="430"/>
    <s v="Mon"/>
  </r>
  <r>
    <x v="461"/>
    <n v="1620"/>
    <n v="1620"/>
    <n v="1657.86"/>
    <n v="1610"/>
    <n v="0"/>
    <x v="1"/>
    <x v="9"/>
    <n v="10"/>
    <x v="21"/>
    <n v="41"/>
    <x v="431"/>
    <s v="Tue"/>
  </r>
  <r>
    <x v="462"/>
    <n v="1620"/>
    <n v="1620"/>
    <n v="1637.15"/>
    <n v="1590.69"/>
    <n v="0"/>
    <x v="1"/>
    <x v="9"/>
    <n v="10"/>
    <x v="21"/>
    <n v="41"/>
    <x v="432"/>
    <s v="Wed"/>
  </r>
  <r>
    <x v="463"/>
    <n v="1620"/>
    <n v="1620"/>
    <n v="1638.595"/>
    <n v="1590.69"/>
    <n v="0"/>
    <x v="1"/>
    <x v="9"/>
    <n v="10"/>
    <x v="21"/>
    <n v="41"/>
    <x v="433"/>
    <s v="Thu"/>
  </r>
  <r>
    <x v="464"/>
    <n v="1620"/>
    <n v="1620"/>
    <n v="1636.095"/>
    <n v="1611.165"/>
    <n v="0"/>
    <x v="1"/>
    <x v="9"/>
    <n v="10"/>
    <x v="21"/>
    <n v="41"/>
    <x v="434"/>
    <s v="Fri"/>
  </r>
  <r>
    <x v="465"/>
    <n v="1635"/>
    <n v="1626.33"/>
    <n v="1642.665"/>
    <n v="1611.165"/>
    <n v="9.2999999999999992E-3"/>
    <x v="1"/>
    <x v="9"/>
    <n v="10"/>
    <x v="21"/>
    <n v="42"/>
    <x v="389"/>
    <s v="Mon"/>
  </r>
  <r>
    <x v="466"/>
    <n v="1635"/>
    <n v="1635"/>
    <n v="1657.5"/>
    <n v="1602.04"/>
    <n v="0"/>
    <x v="1"/>
    <x v="9"/>
    <n v="10"/>
    <x v="21"/>
    <n v="42"/>
    <x v="435"/>
    <s v="Tue"/>
  </r>
  <r>
    <x v="467"/>
    <n v="1635"/>
    <n v="1635"/>
    <n v="1672.345"/>
    <n v="1603.08"/>
    <n v="0"/>
    <x v="1"/>
    <x v="9"/>
    <n v="10"/>
    <x v="21"/>
    <n v="42"/>
    <x v="436"/>
    <s v="Wed"/>
  </r>
  <r>
    <x v="468"/>
    <n v="1635"/>
    <n v="1635"/>
    <n v="1669.845"/>
    <n v="1622.5"/>
    <n v="0"/>
    <x v="1"/>
    <x v="9"/>
    <n v="10"/>
    <x v="21"/>
    <n v="42"/>
    <x v="437"/>
    <s v="Thu"/>
  </r>
  <r>
    <x v="469"/>
    <n v="1635"/>
    <n v="1635"/>
    <n v="1656.08"/>
    <n v="1631.865"/>
    <n v="0"/>
    <x v="1"/>
    <x v="9"/>
    <n v="10"/>
    <x v="21"/>
    <n v="42"/>
    <x v="413"/>
    <s v="Fri"/>
  </r>
  <r>
    <x v="470"/>
    <n v="1643.26"/>
    <n v="1652.73"/>
    <n v="1670.865"/>
    <n v="1627.5"/>
    <n v="5.1000000000000004E-3"/>
    <x v="1"/>
    <x v="9"/>
    <n v="10"/>
    <x v="21"/>
    <n v="43"/>
    <x v="438"/>
    <s v="Mon"/>
  </r>
  <r>
    <x v="471"/>
    <n v="1643.26"/>
    <n v="1643.26"/>
    <n v="1659.9949999999999"/>
    <n v="1629.67"/>
    <n v="0"/>
    <x v="1"/>
    <x v="9"/>
    <n v="10"/>
    <x v="21"/>
    <n v="43"/>
    <x v="439"/>
    <s v="Tue"/>
  </r>
  <r>
    <x v="472"/>
    <n v="1643.26"/>
    <n v="1643.26"/>
    <n v="1653.8"/>
    <n v="1624.13"/>
    <n v="0"/>
    <x v="1"/>
    <x v="9"/>
    <n v="10"/>
    <x v="21"/>
    <n v="43"/>
    <x v="440"/>
    <s v="Wed"/>
  </r>
  <r>
    <x v="473"/>
    <n v="1643.26"/>
    <n v="1643.26"/>
    <n v="1660.33"/>
    <n v="1629.8"/>
    <n v="0"/>
    <x v="1"/>
    <x v="9"/>
    <n v="10"/>
    <x v="21"/>
    <n v="43"/>
    <x v="441"/>
    <s v="Thu"/>
  </r>
  <r>
    <x v="474"/>
    <n v="1643.26"/>
    <n v="1643.26"/>
    <n v="1677.83"/>
    <n v="1627.4749999999999"/>
    <n v="0"/>
    <x v="1"/>
    <x v="9"/>
    <n v="10"/>
    <x v="21"/>
    <n v="43"/>
    <x v="442"/>
    <s v="Fri"/>
  </r>
  <r>
    <x v="475"/>
    <n v="1643.26"/>
    <n v="1643.26"/>
    <n v="1677.5"/>
    <n v="1626.13"/>
    <n v="0"/>
    <x v="1"/>
    <x v="9"/>
    <n v="10"/>
    <x v="21"/>
    <n v="44"/>
    <x v="443"/>
    <s v="Mon"/>
  </r>
  <r>
    <x v="476"/>
    <n v="1643.26"/>
    <n v="1643.26"/>
    <n v="1687.05"/>
    <n v="1642.05"/>
    <n v="0"/>
    <x v="1"/>
    <x v="9"/>
    <n v="10"/>
    <x v="21"/>
    <n v="44"/>
    <x v="444"/>
    <s v="Tue"/>
  </r>
  <r>
    <x v="477"/>
    <n v="1643.26"/>
    <n v="1643.26"/>
    <n v="1672.05"/>
    <n v="1629.13"/>
    <n v="0"/>
    <x v="1"/>
    <x v="9"/>
    <n v="10"/>
    <x v="21"/>
    <n v="44"/>
    <x v="444"/>
    <s v="Wed"/>
  </r>
  <r>
    <x v="478"/>
    <n v="1643.26"/>
    <n v="1643.26"/>
    <n v="1666.18"/>
    <n v="1635.52"/>
    <n v="0"/>
    <x v="1"/>
    <x v="9"/>
    <n v="10"/>
    <x v="21"/>
    <n v="44"/>
    <x v="444"/>
    <s v="Thu"/>
  </r>
  <r>
    <x v="479"/>
    <n v="1643.26"/>
    <n v="1643.26"/>
    <n v="1664.39"/>
    <n v="1635.22"/>
    <n v="0"/>
    <x v="1"/>
    <x v="10"/>
    <n v="11"/>
    <x v="22"/>
    <n v="44"/>
    <x v="444"/>
    <s v="Fri"/>
  </r>
  <r>
    <x v="480"/>
    <n v="1643.26"/>
    <n v="1651.44"/>
    <n v="1697.5"/>
    <n v="1634.13"/>
    <n v="0"/>
    <x v="1"/>
    <x v="10"/>
    <n v="11"/>
    <x v="22"/>
    <n v="45"/>
    <x v="444"/>
    <s v="Mon"/>
  </r>
  <r>
    <x v="481"/>
    <n v="1649.51"/>
    <n v="1666.41"/>
    <n v="1690.2049999999999"/>
    <n v="1638.18"/>
    <n v="3.8E-3"/>
    <x v="1"/>
    <x v="10"/>
    <n v="11"/>
    <x v="22"/>
    <n v="45"/>
    <x v="445"/>
    <s v="Tue"/>
  </r>
  <r>
    <x v="482"/>
    <n v="1659.8"/>
    <n v="1661.51"/>
    <n v="1682.05"/>
    <n v="1657.9349999999999"/>
    <n v="6.1999999999999998E-3"/>
    <x v="1"/>
    <x v="10"/>
    <n v="11"/>
    <x v="22"/>
    <n v="45"/>
    <x v="446"/>
    <s v="Wed"/>
  </r>
  <r>
    <x v="483"/>
    <n v="1666.05"/>
    <n v="1671.8"/>
    <n v="1717.5"/>
    <n v="1650"/>
    <n v="3.8E-3"/>
    <x v="1"/>
    <x v="10"/>
    <n v="11"/>
    <x v="22"/>
    <n v="45"/>
    <x v="447"/>
    <s v="Thu"/>
  </r>
  <r>
    <x v="484"/>
    <n v="1661.15"/>
    <n v="1678.05"/>
    <n v="1707.7049999999999"/>
    <n v="1650"/>
    <n v="-2.8999999999999998E-3"/>
    <x v="1"/>
    <x v="10"/>
    <n v="11"/>
    <x v="22"/>
    <n v="45"/>
    <x v="448"/>
    <s v="Fri"/>
  </r>
  <r>
    <x v="485"/>
    <n v="1661.15"/>
    <n v="1665.84"/>
    <n v="1717.5"/>
    <n v="1635"/>
    <n v="0"/>
    <x v="1"/>
    <x v="10"/>
    <n v="11"/>
    <x v="22"/>
    <n v="46"/>
    <x v="449"/>
    <s v="Mon"/>
  </r>
  <r>
    <x v="486"/>
    <n v="1663.35"/>
    <n v="1673.15"/>
    <n v="1679.31"/>
    <n v="1645"/>
    <n v="1.2999999999999999E-3"/>
    <x v="1"/>
    <x v="10"/>
    <n v="11"/>
    <x v="22"/>
    <n v="46"/>
    <x v="450"/>
    <s v="Tue"/>
  </r>
  <r>
    <x v="487"/>
    <n v="1667.91"/>
    <n v="1675.35"/>
    <n v="1717.5"/>
    <n v="1675.35"/>
    <n v="2.7000000000000001E-3"/>
    <x v="1"/>
    <x v="10"/>
    <n v="11"/>
    <x v="22"/>
    <n v="46"/>
    <x v="451"/>
    <s v="Wed"/>
  </r>
  <r>
    <x v="488"/>
    <n v="1667.91"/>
    <n v="1679.91"/>
    <n v="1691.2850000000001"/>
    <n v="1677.2850000000001"/>
    <n v="0"/>
    <x v="1"/>
    <x v="10"/>
    <n v="11"/>
    <x v="22"/>
    <n v="46"/>
    <x v="452"/>
    <s v="Thu"/>
  </r>
  <r>
    <x v="489"/>
    <n v="1654.63"/>
    <n v="1679.91"/>
    <n v="1689.74"/>
    <n v="1635"/>
    <n v="-8.0000000000000002E-3"/>
    <x v="1"/>
    <x v="10"/>
    <n v="11"/>
    <x v="22"/>
    <n v="46"/>
    <x v="453"/>
    <s v="Fri"/>
  </r>
  <r>
    <x v="490"/>
    <n v="1664.95"/>
    <n v="1658.93"/>
    <n v="1697.5"/>
    <n v="1657.28"/>
    <n v="6.1999999999999998E-3"/>
    <x v="1"/>
    <x v="10"/>
    <n v="11"/>
    <x v="22"/>
    <n v="47"/>
    <x v="454"/>
    <s v="Mon"/>
  </r>
  <r>
    <x v="491"/>
    <n v="1666.69"/>
    <n v="1676.95"/>
    <n v="1708.61"/>
    <n v="1650"/>
    <n v="1E-3"/>
    <x v="1"/>
    <x v="10"/>
    <n v="11"/>
    <x v="22"/>
    <n v="47"/>
    <x v="455"/>
    <s v="Tue"/>
  </r>
  <r>
    <x v="492"/>
    <n v="1669.07"/>
    <n v="1678.69"/>
    <n v="1717.5"/>
    <n v="1671.645"/>
    <n v="1.4E-3"/>
    <x v="1"/>
    <x v="10"/>
    <n v="11"/>
    <x v="22"/>
    <n v="47"/>
    <x v="456"/>
    <s v="Wed"/>
  </r>
  <r>
    <x v="493"/>
    <n v="1681.36"/>
    <n v="1681.07"/>
    <n v="1693.36"/>
    <n v="1672.835"/>
    <n v="7.4000000000000003E-3"/>
    <x v="1"/>
    <x v="10"/>
    <n v="11"/>
    <x v="22"/>
    <n v="47"/>
    <x v="457"/>
    <s v="Thu"/>
  </r>
  <r>
    <x v="494"/>
    <n v="1681.39"/>
    <n v="1693.36"/>
    <n v="1703.89"/>
    <n v="1675.6"/>
    <n v="0"/>
    <x v="1"/>
    <x v="10"/>
    <n v="11"/>
    <x v="22"/>
    <n v="47"/>
    <x v="458"/>
    <s v="Fri"/>
  </r>
  <r>
    <x v="495"/>
    <n v="1669.26"/>
    <n v="1688.78"/>
    <n v="1713.89"/>
    <n v="1650"/>
    <n v="-7.1999999999999998E-3"/>
    <x v="1"/>
    <x v="10"/>
    <n v="11"/>
    <x v="22"/>
    <n v="48"/>
    <x v="459"/>
    <s v="Mon"/>
  </r>
  <r>
    <x v="496"/>
    <n v="1677.53"/>
    <n v="1681.26"/>
    <n v="1705"/>
    <n v="1665.99"/>
    <n v="5.0000000000000001E-3"/>
    <x v="1"/>
    <x v="10"/>
    <n v="11"/>
    <x v="22"/>
    <n v="48"/>
    <x v="460"/>
    <s v="Tue"/>
  </r>
  <r>
    <x v="497"/>
    <n v="1677.66"/>
    <n v="1689.53"/>
    <n v="1698.61"/>
    <n v="1679.125"/>
    <n v="1E-4"/>
    <x v="1"/>
    <x v="10"/>
    <n v="11"/>
    <x v="22"/>
    <n v="48"/>
    <x v="461"/>
    <s v="Wed"/>
  </r>
  <r>
    <x v="498"/>
    <n v="1670.89"/>
    <n v="1689.66"/>
    <n v="1690.19"/>
    <n v="1620"/>
    <n v="-4.0000000000000001E-3"/>
    <x v="1"/>
    <x v="10"/>
    <n v="11"/>
    <x v="22"/>
    <n v="48"/>
    <x v="462"/>
    <s v="Thu"/>
  </r>
  <r>
    <x v="499"/>
    <n v="1670.89"/>
    <n v="1682.89"/>
    <n v="1689.63"/>
    <n v="1642.5"/>
    <n v="0"/>
    <x v="1"/>
    <x v="10"/>
    <n v="11"/>
    <x v="22"/>
    <n v="48"/>
    <x v="463"/>
    <s v="Fri"/>
  </r>
  <r>
    <x v="500"/>
    <n v="1660.92"/>
    <n v="1682.89"/>
    <n v="1700"/>
    <n v="1652.7"/>
    <n v="-6.0000000000000001E-3"/>
    <x v="1"/>
    <x v="11"/>
    <n v="12"/>
    <x v="23"/>
    <n v="49"/>
    <x v="464"/>
    <s v="Mon"/>
  </r>
  <r>
    <x v="501"/>
    <n v="1648.36"/>
    <n v="1672.92"/>
    <n v="1682.09"/>
    <n v="1640"/>
    <n v="-7.6E-3"/>
    <x v="1"/>
    <x v="11"/>
    <n v="12"/>
    <x v="23"/>
    <n v="49"/>
    <x v="465"/>
    <s v="Tue"/>
  </r>
  <r>
    <x v="502"/>
    <n v="1618.62"/>
    <n v="1658.36"/>
    <n v="1680.26"/>
    <n v="1612.5"/>
    <n v="-1.7999999999999999E-2"/>
    <x v="1"/>
    <x v="11"/>
    <n v="12"/>
    <x v="23"/>
    <n v="49"/>
    <x v="466"/>
    <s v="Wed"/>
  </r>
  <r>
    <x v="503"/>
    <n v="1595.3"/>
    <n v="1628.62"/>
    <n v="1640.34"/>
    <n v="1550"/>
    <n v="-1.44E-2"/>
    <x v="1"/>
    <x v="11"/>
    <n v="12"/>
    <x v="23"/>
    <n v="49"/>
    <x v="467"/>
    <s v="Thu"/>
  </r>
  <r>
    <x v="504"/>
    <n v="1542.5"/>
    <n v="1605.3"/>
    <n v="1652.73"/>
    <n v="1535"/>
    <n v="-3.3099999999999997E-2"/>
    <x v="1"/>
    <x v="11"/>
    <n v="12"/>
    <x v="23"/>
    <n v="49"/>
    <x v="468"/>
    <s v="Fri"/>
  </r>
  <r>
    <x v="505"/>
    <n v="1532.47"/>
    <n v="1588.79"/>
    <n v="1707.5"/>
    <n v="1485"/>
    <n v="-6.4999999999999997E-3"/>
    <x v="1"/>
    <x v="11"/>
    <n v="12"/>
    <x v="23"/>
    <n v="50"/>
    <x v="469"/>
    <s v="Mon"/>
  </r>
  <r>
    <x v="506"/>
    <n v="1537.5"/>
    <n v="1542.47"/>
    <n v="1547.5"/>
    <n v="1533.615"/>
    <n v="3.3E-3"/>
    <x v="1"/>
    <x v="11"/>
    <n v="12"/>
    <x v="23"/>
    <n v="50"/>
    <x v="470"/>
    <s v="Tue"/>
  </r>
  <r>
    <x v="507"/>
    <n v="1539.29"/>
    <n v="1547.5"/>
    <n v="1557"/>
    <n v="1526.5550000000001"/>
    <n v="1.1999999999999999E-3"/>
    <x v="1"/>
    <x v="11"/>
    <n v="12"/>
    <x v="23"/>
    <n v="50"/>
    <x v="471"/>
    <s v="Wed"/>
  </r>
  <r>
    <x v="508"/>
    <n v="1537.45"/>
    <n v="1549.29"/>
    <n v="1562.145"/>
    <n v="1526.5550000000001"/>
    <n v="-1.1999999999999999E-3"/>
    <x v="1"/>
    <x v="11"/>
    <n v="12"/>
    <x v="23"/>
    <n v="50"/>
    <x v="472"/>
    <s v="Thu"/>
  </r>
  <r>
    <x v="509"/>
    <n v="1539.5"/>
    <n v="1547.45"/>
    <n v="1549.5"/>
    <n v="1533.09"/>
    <n v="1.2999999999999999E-3"/>
    <x v="1"/>
    <x v="11"/>
    <n v="12"/>
    <x v="23"/>
    <n v="50"/>
    <x v="473"/>
    <s v="Fri"/>
  </r>
  <r>
    <x v="510"/>
    <n v="1532.27"/>
    <n v="1534.6"/>
    <n v="1556.8"/>
    <n v="1529.635"/>
    <n v="-4.7000000000000002E-3"/>
    <x v="1"/>
    <x v="11"/>
    <n v="12"/>
    <x v="23"/>
    <n v="51"/>
    <x v="474"/>
    <s v="Mon"/>
  </r>
  <r>
    <x v="511"/>
    <n v="1546.75"/>
    <n v="1533.27"/>
    <n v="1556.75"/>
    <n v="1533.27"/>
    <n v="9.4999999999999998E-3"/>
    <x v="1"/>
    <x v="11"/>
    <n v="12"/>
    <x v="23"/>
    <n v="51"/>
    <x v="475"/>
    <s v="Tue"/>
  </r>
  <r>
    <x v="512"/>
    <n v="1545.45"/>
    <n v="1556.75"/>
    <n v="1637.5"/>
    <n v="1527.2750000000001"/>
    <n v="-8.0000000000000004E-4"/>
    <x v="1"/>
    <x v="11"/>
    <n v="12"/>
    <x v="23"/>
    <n v="51"/>
    <x v="476"/>
    <s v="Wed"/>
  </r>
  <r>
    <x v="513"/>
    <n v="1541.43"/>
    <n v="1555.45"/>
    <n v="1555.45"/>
    <n v="1534.11"/>
    <n v="-2.5999999999999999E-3"/>
    <x v="1"/>
    <x v="11"/>
    <n v="12"/>
    <x v="23"/>
    <n v="51"/>
    <x v="477"/>
    <s v="Thu"/>
  </r>
  <r>
    <x v="514"/>
    <n v="1538.07"/>
    <n v="1551.43"/>
    <n v="1551.43"/>
    <n v="1537.43"/>
    <n v="-2.2000000000000001E-3"/>
    <x v="1"/>
    <x v="11"/>
    <n v="12"/>
    <x v="23"/>
    <n v="51"/>
    <x v="478"/>
    <s v="Fri"/>
  </r>
  <r>
    <x v="515"/>
    <n v="1538.07"/>
    <n v="1537.43"/>
    <n v="1560"/>
    <n v="1531.4649999999999"/>
    <n v="0"/>
    <x v="1"/>
    <x v="11"/>
    <n v="12"/>
    <x v="23"/>
    <n v="52"/>
    <x v="479"/>
    <s v="Mon"/>
  </r>
  <r>
    <x v="516"/>
    <n v="1538.07"/>
    <n v="1548.07"/>
    <n v="1548.07"/>
    <n v="1536.72"/>
    <n v="0"/>
    <x v="1"/>
    <x v="11"/>
    <n v="12"/>
    <x v="23"/>
    <n v="52"/>
    <x v="480"/>
    <s v="Tue"/>
  </r>
  <r>
    <x v="517"/>
    <n v="1535.72"/>
    <n v="1535.72"/>
    <n v="1535.72"/>
    <n v="1535.72"/>
    <n v="-1.5E-3"/>
    <x v="1"/>
    <x v="11"/>
    <n v="12"/>
    <x v="23"/>
    <n v="52"/>
    <x v="481"/>
    <s v="Wed"/>
  </r>
  <r>
    <x v="518"/>
    <n v="1537.57"/>
    <n v="1538.57"/>
    <n v="1538.57"/>
    <n v="1538.57"/>
    <n v="1.1999999999999999E-3"/>
    <x v="1"/>
    <x v="11"/>
    <n v="12"/>
    <x v="23"/>
    <n v="52"/>
    <x v="482"/>
    <s v="Thu"/>
  </r>
  <r>
    <x v="519"/>
    <n v="1539"/>
    <n v="1538.57"/>
    <n v="1559.5"/>
    <n v="1532.2850000000001"/>
    <n v="8.9999999999999998E-4"/>
    <x v="1"/>
    <x v="11"/>
    <n v="12"/>
    <x v="23"/>
    <n v="52"/>
    <x v="483"/>
    <s v="Fri"/>
  </r>
  <r>
    <x v="520"/>
    <n v="1534"/>
    <n v="1538.57"/>
    <n v="1559.5"/>
    <n v="1532.2850000000001"/>
    <n v="-3.2000000000000002E-3"/>
    <x v="1"/>
    <x v="11"/>
    <n v="12"/>
    <x v="23"/>
    <n v="53"/>
    <x v="484"/>
    <s v="Mon"/>
  </r>
  <r>
    <x v="521"/>
    <n v="1534"/>
    <n v="1544"/>
    <n v="1545.7850000000001"/>
    <n v="1536.7850000000001"/>
    <n v="0"/>
    <x v="1"/>
    <x v="11"/>
    <n v="12"/>
    <x v="23"/>
    <n v="53"/>
    <x v="485"/>
    <s v="Tue"/>
  </r>
  <r>
    <x v="522"/>
    <n v="1537.57"/>
    <n v="1538.57"/>
    <n v="1538.57"/>
    <n v="1538.57"/>
    <n v="2.3E-3"/>
    <x v="2"/>
    <x v="0"/>
    <n v="1"/>
    <x v="24"/>
    <n v="1"/>
    <x v="486"/>
    <s v="Wed"/>
  </r>
  <r>
    <x v="523"/>
    <n v="1538"/>
    <n v="1544"/>
    <n v="1548"/>
    <n v="1536.7850000000001"/>
    <n v="2.9999999999999997E-4"/>
    <x v="2"/>
    <x v="0"/>
    <n v="1"/>
    <x v="24"/>
    <n v="1"/>
    <x v="487"/>
    <s v="Thu"/>
  </r>
  <r>
    <x v="524"/>
    <n v="1533.5"/>
    <n v="1548"/>
    <n v="1559"/>
    <n v="1528.5"/>
    <n v="-2.8999999999999998E-3"/>
    <x v="2"/>
    <x v="0"/>
    <n v="1"/>
    <x v="24"/>
    <n v="1"/>
    <x v="488"/>
    <s v="Fri"/>
  </r>
  <r>
    <x v="525"/>
    <n v="1532.5"/>
    <n v="1536"/>
    <n v="1560"/>
    <n v="1530"/>
    <n v="-6.9999999999999999E-4"/>
    <x v="2"/>
    <x v="0"/>
    <n v="1"/>
    <x v="24"/>
    <n v="2"/>
    <x v="489"/>
    <s v="Mon"/>
  </r>
  <r>
    <x v="526"/>
    <n v="1528.8"/>
    <n v="1542.5"/>
    <n v="1543.03"/>
    <n v="1531.7049999999999"/>
    <n v="-2.3999999999999998E-3"/>
    <x v="2"/>
    <x v="0"/>
    <n v="1"/>
    <x v="24"/>
    <n v="2"/>
    <x v="490"/>
    <s v="Tue"/>
  </r>
  <r>
    <x v="527"/>
    <n v="1533.83"/>
    <n v="1538.8"/>
    <n v="1562.5"/>
    <n v="1531.7049999999999"/>
    <n v="3.3E-3"/>
    <x v="2"/>
    <x v="0"/>
    <n v="1"/>
    <x v="24"/>
    <n v="2"/>
    <x v="491"/>
    <s v="Wed"/>
  </r>
  <r>
    <x v="528"/>
    <n v="1541.29"/>
    <n v="1543.83"/>
    <n v="1567.145"/>
    <n v="1533.61"/>
    <n v="4.8999999999999998E-3"/>
    <x v="2"/>
    <x v="0"/>
    <n v="1"/>
    <x v="24"/>
    <n v="2"/>
    <x v="492"/>
    <s v="Thu"/>
  </r>
  <r>
    <x v="529"/>
    <n v="1541.67"/>
    <n v="1551.29"/>
    <n v="1565.835"/>
    <n v="1533.61"/>
    <n v="2.0000000000000001E-4"/>
    <x v="2"/>
    <x v="0"/>
    <n v="1"/>
    <x v="24"/>
    <n v="2"/>
    <x v="493"/>
    <s v="Fri"/>
  </r>
  <r>
    <x v="530"/>
    <n v="1539.33"/>
    <n v="1533.61"/>
    <n v="1565.835"/>
    <n v="1533.61"/>
    <n v="-1.5E-3"/>
    <x v="2"/>
    <x v="0"/>
    <n v="1"/>
    <x v="24"/>
    <n v="3"/>
    <x v="494"/>
    <s v="Mon"/>
  </r>
  <r>
    <x v="531"/>
    <n v="1543.57"/>
    <n v="1549.33"/>
    <n v="1570.425"/>
    <n v="1541.18"/>
    <n v="2.8E-3"/>
    <x v="2"/>
    <x v="0"/>
    <n v="1"/>
    <x v="24"/>
    <n v="3"/>
    <x v="495"/>
    <s v="Tue"/>
  </r>
  <r>
    <x v="532"/>
    <n v="1545"/>
    <n v="1553.57"/>
    <n v="1573.335"/>
    <n v="1545.71"/>
    <n v="8.9999999999999998E-4"/>
    <x v="2"/>
    <x v="0"/>
    <n v="1"/>
    <x v="24"/>
    <n v="3"/>
    <x v="496"/>
    <s v="Wed"/>
  </r>
  <r>
    <x v="533"/>
    <n v="1550.2"/>
    <n v="1555"/>
    <n v="1572.6"/>
    <n v="1544.335"/>
    <n v="3.3999999999999998E-3"/>
    <x v="2"/>
    <x v="0"/>
    <n v="1"/>
    <x v="24"/>
    <n v="3"/>
    <x v="497"/>
    <s v="Thu"/>
  </r>
  <r>
    <x v="534"/>
    <n v="1546.71"/>
    <n v="1560.2"/>
    <n v="1562.6"/>
    <n v="1547.6"/>
    <n v="-2.3E-3"/>
    <x v="2"/>
    <x v="0"/>
    <n v="1"/>
    <x v="24"/>
    <n v="3"/>
    <x v="498"/>
    <s v="Fri"/>
  </r>
  <r>
    <x v="535"/>
    <n v="1544.11"/>
    <n v="1549.2"/>
    <n v="1573.6"/>
    <n v="1544.5"/>
    <n v="-1.6999999999999999E-3"/>
    <x v="2"/>
    <x v="0"/>
    <n v="1"/>
    <x v="24"/>
    <n v="4"/>
    <x v="499"/>
    <s v="Mon"/>
  </r>
  <r>
    <x v="536"/>
    <n v="1545"/>
    <n v="1554.11"/>
    <n v="1556.5"/>
    <n v="1546.5550000000001"/>
    <n v="5.9999999999999995E-4"/>
    <x v="2"/>
    <x v="0"/>
    <n v="1"/>
    <x v="24"/>
    <n v="4"/>
    <x v="500"/>
    <s v="Tue"/>
  </r>
  <r>
    <x v="537"/>
    <n v="1547"/>
    <n v="1555"/>
    <n v="1559.125"/>
    <n v="1547"/>
    <n v="1.2999999999999999E-3"/>
    <x v="2"/>
    <x v="0"/>
    <n v="1"/>
    <x v="24"/>
    <n v="4"/>
    <x v="501"/>
    <s v="Wed"/>
  </r>
  <r>
    <x v="538"/>
    <n v="1547"/>
    <n v="1557"/>
    <n v="1560.46"/>
    <n v="1548.625"/>
    <n v="0"/>
    <x v="2"/>
    <x v="0"/>
    <n v="1"/>
    <x v="24"/>
    <n v="4"/>
    <x v="502"/>
    <s v="Thu"/>
  </r>
  <r>
    <x v="539"/>
    <n v="1548"/>
    <n v="1557"/>
    <n v="1559.46"/>
    <n v="1505"/>
    <n v="5.9999999999999995E-4"/>
    <x v="2"/>
    <x v="0"/>
    <n v="1"/>
    <x v="24"/>
    <n v="4"/>
    <x v="503"/>
    <s v="Fri"/>
  </r>
  <r>
    <x v="540"/>
    <n v="1549.48"/>
    <n v="1550.48"/>
    <n v="1557.5"/>
    <n v="1529"/>
    <n v="1E-3"/>
    <x v="2"/>
    <x v="0"/>
    <n v="1"/>
    <x v="24"/>
    <n v="5"/>
    <x v="504"/>
    <s v="Mon"/>
  </r>
  <r>
    <x v="541"/>
    <n v="1549.48"/>
    <n v="1550.48"/>
    <n v="1555"/>
    <n v="1513.1"/>
    <n v="0"/>
    <x v="2"/>
    <x v="0"/>
    <n v="1"/>
    <x v="24"/>
    <n v="5"/>
    <x v="505"/>
    <s v="Tue"/>
  </r>
  <r>
    <x v="542"/>
    <n v="1549.48"/>
    <n v="1550.48"/>
    <n v="1561"/>
    <n v="1508"/>
    <n v="0"/>
    <x v="2"/>
    <x v="0"/>
    <n v="1"/>
    <x v="24"/>
    <n v="5"/>
    <x v="506"/>
    <s v="Wed"/>
  </r>
  <r>
    <x v="543"/>
    <n v="1498"/>
    <n v="1550.48"/>
    <n v="1553.24"/>
    <n v="1491"/>
    <n v="-3.32E-2"/>
    <x v="2"/>
    <x v="0"/>
    <n v="1"/>
    <x v="24"/>
    <n v="5"/>
    <x v="507"/>
    <s v="Thu"/>
  </r>
  <r>
    <x v="544"/>
    <n v="1480"/>
    <n v="1499"/>
    <n v="1515"/>
    <n v="1442.5"/>
    <n v="-1.2E-2"/>
    <x v="2"/>
    <x v="0"/>
    <n v="1"/>
    <x v="24"/>
    <n v="5"/>
    <x v="508"/>
    <s v="Fri"/>
  </r>
  <r>
    <x v="545"/>
    <n v="1477.22"/>
    <n v="1481"/>
    <n v="1550"/>
    <n v="1442.5"/>
    <n v="-1.9E-3"/>
    <x v="2"/>
    <x v="1"/>
    <n v="2"/>
    <x v="25"/>
    <n v="6"/>
    <x v="509"/>
    <s v="Mon"/>
  </r>
  <r>
    <x v="546"/>
    <n v="1487.99"/>
    <n v="1483"/>
    <n v="1499"/>
    <n v="1478.11"/>
    <n v="7.3000000000000001E-3"/>
    <x v="2"/>
    <x v="1"/>
    <n v="2"/>
    <x v="25"/>
    <n v="6"/>
    <x v="510"/>
    <s v="Tue"/>
  </r>
  <r>
    <x v="547"/>
    <n v="1496.41"/>
    <n v="1488.99"/>
    <n v="1500.7049999999999"/>
    <n v="1488.99"/>
    <n v="5.7000000000000002E-3"/>
    <x v="2"/>
    <x v="1"/>
    <n v="2"/>
    <x v="25"/>
    <n v="6"/>
    <x v="511"/>
    <s v="Wed"/>
  </r>
  <r>
    <x v="548"/>
    <n v="1496.41"/>
    <n v="1497.41"/>
    <n v="1507.5"/>
    <n v="1494.2049999999999"/>
    <n v="0"/>
    <x v="2"/>
    <x v="1"/>
    <n v="2"/>
    <x v="25"/>
    <n v="6"/>
    <x v="512"/>
    <s v="Thu"/>
  </r>
  <r>
    <x v="549"/>
    <n v="1496.41"/>
    <n v="1497.41"/>
    <n v="1506.5"/>
    <n v="1494.2049999999999"/>
    <n v="0"/>
    <x v="2"/>
    <x v="1"/>
    <n v="2"/>
    <x v="25"/>
    <n v="6"/>
    <x v="513"/>
    <s v="Fri"/>
  </r>
  <r>
    <x v="550"/>
    <n v="1496.41"/>
    <n v="1497.41"/>
    <n v="1511"/>
    <n v="1494.2049999999999"/>
    <n v="0"/>
    <x v="2"/>
    <x v="1"/>
    <n v="2"/>
    <x v="25"/>
    <n v="7"/>
    <x v="514"/>
    <s v="Mon"/>
  </r>
  <r>
    <x v="551"/>
    <n v="1498.78"/>
    <n v="1497.41"/>
    <n v="1505"/>
    <n v="1497.41"/>
    <n v="1.6000000000000001E-3"/>
    <x v="2"/>
    <x v="1"/>
    <n v="2"/>
    <x v="25"/>
    <n v="7"/>
    <x v="515"/>
    <s v="Tue"/>
  </r>
  <r>
    <x v="552"/>
    <n v="1498.78"/>
    <n v="1499.78"/>
    <n v="1515"/>
    <n v="1497.89"/>
    <n v="0"/>
    <x v="2"/>
    <x v="1"/>
    <n v="2"/>
    <x v="25"/>
    <n v="7"/>
    <x v="516"/>
    <s v="Wed"/>
  </r>
  <r>
    <x v="553"/>
    <n v="1500"/>
    <n v="1499.78"/>
    <n v="1540"/>
    <n v="1490"/>
    <n v="8.0000000000000004E-4"/>
    <x v="2"/>
    <x v="1"/>
    <n v="2"/>
    <x v="25"/>
    <n v="7"/>
    <x v="517"/>
    <s v="Thu"/>
  </r>
  <r>
    <x v="554"/>
    <n v="1509"/>
    <n v="1504.3"/>
    <n v="1515"/>
    <n v="1502.65"/>
    <n v="6.0000000000000001E-3"/>
    <x v="2"/>
    <x v="1"/>
    <n v="2"/>
    <x v="25"/>
    <n v="7"/>
    <x v="518"/>
    <s v="Fri"/>
  </r>
  <r>
    <x v="555"/>
    <n v="1510"/>
    <n v="1510"/>
    <n v="1515"/>
    <n v="1505"/>
    <n v="6.9999999999999999E-4"/>
    <x v="2"/>
    <x v="1"/>
    <n v="2"/>
    <x v="25"/>
    <n v="8"/>
    <x v="519"/>
    <s v="Mon"/>
  </r>
  <r>
    <x v="556"/>
    <n v="1504"/>
    <n v="1511"/>
    <n v="1512.5"/>
    <n v="1503"/>
    <n v="-4.0000000000000001E-3"/>
    <x v="2"/>
    <x v="1"/>
    <n v="2"/>
    <x v="25"/>
    <n v="8"/>
    <x v="520"/>
    <s v="Tue"/>
  </r>
  <r>
    <x v="557"/>
    <n v="1503"/>
    <n v="1505"/>
    <n v="1512.5"/>
    <n v="1503.5"/>
    <n v="-6.9999999999999999E-4"/>
    <x v="2"/>
    <x v="1"/>
    <n v="2"/>
    <x v="25"/>
    <n v="8"/>
    <x v="521"/>
    <s v="Wed"/>
  </r>
  <r>
    <x v="558"/>
    <n v="1508.04"/>
    <n v="1504"/>
    <n v="1513.02"/>
    <n v="1480"/>
    <n v="3.3999999999999998E-3"/>
    <x v="2"/>
    <x v="1"/>
    <n v="2"/>
    <x v="25"/>
    <n v="8"/>
    <x v="522"/>
    <s v="Thu"/>
  </r>
  <r>
    <x v="559"/>
    <n v="1499.52"/>
    <n v="1509.04"/>
    <n v="1511.52"/>
    <n v="1491.5"/>
    <n v="-5.5999999999999999E-3"/>
    <x v="2"/>
    <x v="1"/>
    <n v="2"/>
    <x v="25"/>
    <n v="8"/>
    <x v="523"/>
    <s v="Fri"/>
  </r>
  <r>
    <x v="560"/>
    <n v="1499.73"/>
    <n v="1500.52"/>
    <n v="1511"/>
    <n v="1494"/>
    <n v="1E-4"/>
    <x v="2"/>
    <x v="1"/>
    <n v="2"/>
    <x v="25"/>
    <n v="9"/>
    <x v="524"/>
    <s v="Mon"/>
  </r>
  <r>
    <x v="561"/>
    <n v="1496.11"/>
    <n v="1500.73"/>
    <n v="1507.365"/>
    <n v="1494.0550000000001"/>
    <n v="-2.3999999999999998E-3"/>
    <x v="2"/>
    <x v="1"/>
    <n v="2"/>
    <x v="25"/>
    <n v="9"/>
    <x v="525"/>
    <s v="Tue"/>
  </r>
  <r>
    <x v="562"/>
    <n v="1494.91"/>
    <n v="1497.11"/>
    <n v="1500"/>
    <n v="1495.91"/>
    <n v="-8.0000000000000004E-4"/>
    <x v="2"/>
    <x v="1"/>
    <n v="2"/>
    <x v="25"/>
    <n v="9"/>
    <x v="526"/>
    <s v="Wed"/>
  </r>
  <r>
    <x v="563"/>
    <n v="1498"/>
    <n v="1495.91"/>
    <n v="1499.5550000000001"/>
    <n v="1495.91"/>
    <n v="2.0999999999999999E-3"/>
    <x v="2"/>
    <x v="1"/>
    <n v="2"/>
    <x v="25"/>
    <n v="9"/>
    <x v="527"/>
    <s v="Thu"/>
  </r>
  <r>
    <x v="564"/>
    <n v="1498"/>
    <n v="1499.11"/>
    <n v="1503.5"/>
    <n v="1497.5350000000001"/>
    <n v="0"/>
    <x v="2"/>
    <x v="1"/>
    <n v="2"/>
    <x v="25"/>
    <n v="9"/>
    <x v="528"/>
    <s v="Fri"/>
  </r>
  <r>
    <x v="565"/>
    <n v="1498"/>
    <n v="1499.07"/>
    <n v="1503.0350000000001"/>
    <n v="1498.5350000000001"/>
    <n v="0"/>
    <x v="2"/>
    <x v="2"/>
    <n v="3"/>
    <x v="26"/>
    <n v="10"/>
    <x v="529"/>
    <s v="Mon"/>
  </r>
  <r>
    <x v="566"/>
    <n v="1497"/>
    <n v="1499.07"/>
    <n v="1507.5"/>
    <n v="1494.5"/>
    <n v="-6.9999999999999999E-4"/>
    <x v="2"/>
    <x v="2"/>
    <n v="3"/>
    <x v="26"/>
    <n v="10"/>
    <x v="530"/>
    <s v="Tue"/>
  </r>
  <r>
    <x v="567"/>
    <n v="1490.67"/>
    <n v="1498"/>
    <n v="1503.5"/>
    <n v="1491.67"/>
    <n v="-4.1999999999999997E-3"/>
    <x v="2"/>
    <x v="2"/>
    <n v="3"/>
    <x v="26"/>
    <n v="10"/>
    <x v="531"/>
    <s v="Wed"/>
  </r>
  <r>
    <x v="568"/>
    <n v="1499.8"/>
    <n v="1491.67"/>
    <n v="1514"/>
    <n v="1491.67"/>
    <n v="6.1000000000000004E-3"/>
    <x v="2"/>
    <x v="2"/>
    <n v="3"/>
    <x v="26"/>
    <n v="10"/>
    <x v="532"/>
    <s v="Thu"/>
  </r>
  <r>
    <x v="569"/>
    <n v="1510"/>
    <n v="1500.8"/>
    <n v="1522.5"/>
    <n v="1499.9"/>
    <n v="6.7999999999999996E-3"/>
    <x v="2"/>
    <x v="2"/>
    <n v="3"/>
    <x v="26"/>
    <n v="10"/>
    <x v="533"/>
    <s v="Fri"/>
  </r>
  <r>
    <x v="570"/>
    <n v="1534"/>
    <n v="1512.3"/>
    <n v="1540"/>
    <n v="1509.15"/>
    <n v="1.5900000000000001E-2"/>
    <x v="2"/>
    <x v="2"/>
    <n v="3"/>
    <x v="26"/>
    <n v="11"/>
    <x v="534"/>
    <s v="Mon"/>
  </r>
  <r>
    <x v="571"/>
    <n v="1528"/>
    <n v="1535"/>
    <n v="1538"/>
    <n v="1515"/>
    <n v="-3.8999999999999998E-3"/>
    <x v="2"/>
    <x v="2"/>
    <n v="3"/>
    <x v="26"/>
    <n v="11"/>
    <x v="535"/>
    <s v="Tue"/>
  </r>
  <r>
    <x v="572"/>
    <n v="1531"/>
    <n v="1529"/>
    <n v="1552.5"/>
    <n v="1529"/>
    <n v="2E-3"/>
    <x v="2"/>
    <x v="2"/>
    <n v="3"/>
    <x v="26"/>
    <n v="11"/>
    <x v="536"/>
    <s v="Wed"/>
  </r>
  <r>
    <x v="573"/>
    <n v="1550"/>
    <n v="1532"/>
    <n v="1560"/>
    <n v="1507.5"/>
    <n v="1.24E-2"/>
    <x v="2"/>
    <x v="2"/>
    <n v="3"/>
    <x v="26"/>
    <n v="11"/>
    <x v="537"/>
    <s v="Thu"/>
  </r>
  <r>
    <x v="574"/>
    <n v="1546.82"/>
    <n v="1550"/>
    <n v="1550"/>
    <n v="1507.5"/>
    <n v="-2.0999999999999999E-3"/>
    <x v="2"/>
    <x v="2"/>
    <n v="3"/>
    <x v="26"/>
    <n v="11"/>
    <x v="538"/>
    <s v="Fri"/>
  </r>
  <r>
    <x v="575"/>
    <n v="1545"/>
    <n v="1547.82"/>
    <n v="1553.41"/>
    <n v="1533"/>
    <n v="-1.1999999999999999E-3"/>
    <x v="2"/>
    <x v="2"/>
    <n v="3"/>
    <x v="26"/>
    <n v="12"/>
    <x v="539"/>
    <s v="Mon"/>
  </r>
  <r>
    <x v="576"/>
    <n v="1527.03"/>
    <n v="1547.82"/>
    <n v="1550.91"/>
    <n v="1528.03"/>
    <n v="-1.1599999999999999E-2"/>
    <x v="2"/>
    <x v="2"/>
    <n v="3"/>
    <x v="26"/>
    <n v="12"/>
    <x v="540"/>
    <s v="Tue"/>
  </r>
  <r>
    <x v="577"/>
    <n v="1519"/>
    <n v="1528.03"/>
    <n v="1550"/>
    <n v="1520"/>
    <n v="-5.3E-3"/>
    <x v="2"/>
    <x v="2"/>
    <n v="3"/>
    <x v="26"/>
    <n v="12"/>
    <x v="541"/>
    <s v="Wed"/>
  </r>
  <r>
    <x v="578"/>
    <n v="1519"/>
    <n v="1520"/>
    <n v="1550"/>
    <n v="1520"/>
    <n v="0"/>
    <x v="2"/>
    <x v="2"/>
    <n v="3"/>
    <x v="26"/>
    <n v="12"/>
    <x v="542"/>
    <s v="Thu"/>
  </r>
  <r>
    <x v="579"/>
    <n v="1545"/>
    <n v="1520"/>
    <n v="1550"/>
    <n v="1520"/>
    <n v="1.7100000000000001E-2"/>
    <x v="2"/>
    <x v="2"/>
    <n v="3"/>
    <x v="26"/>
    <n v="12"/>
    <x v="543"/>
    <s v="Fri"/>
  </r>
  <r>
    <x v="580"/>
    <n v="1519"/>
    <n v="1536"/>
    <n v="1550"/>
    <n v="1520"/>
    <n v="-1.6799999999999999E-2"/>
    <x v="2"/>
    <x v="2"/>
    <n v="3"/>
    <x v="26"/>
    <n v="13"/>
    <x v="544"/>
    <s v="Mon"/>
  </r>
  <r>
    <x v="581"/>
    <n v="1524"/>
    <n v="1520"/>
    <n v="1535.34"/>
    <n v="1520"/>
    <n v="3.3E-3"/>
    <x v="2"/>
    <x v="2"/>
    <n v="3"/>
    <x v="26"/>
    <n v="13"/>
    <x v="545"/>
    <s v="Tue"/>
  </r>
  <r>
    <x v="582"/>
    <n v="1532.71"/>
    <n v="1530.5"/>
    <n v="1538.9849999999999"/>
    <n v="1523"/>
    <n v="5.7000000000000002E-3"/>
    <x v="2"/>
    <x v="2"/>
    <n v="3"/>
    <x v="26"/>
    <n v="13"/>
    <x v="546"/>
    <s v="Wed"/>
  </r>
  <r>
    <x v="583"/>
    <n v="1533.64"/>
    <n v="1532.5"/>
    <n v="1541.4649999999999"/>
    <n v="1529.25"/>
    <n v="5.9999999999999995E-4"/>
    <x v="2"/>
    <x v="2"/>
    <n v="3"/>
    <x v="26"/>
    <n v="13"/>
    <x v="547"/>
    <s v="Thu"/>
  </r>
  <r>
    <x v="584"/>
    <n v="1534.73"/>
    <n v="1537.425"/>
    <n v="1541.8"/>
    <n v="1530"/>
    <n v="6.9999999999999999E-4"/>
    <x v="2"/>
    <x v="2"/>
    <n v="3"/>
    <x v="26"/>
    <n v="13"/>
    <x v="548"/>
    <s v="Fri"/>
  </r>
  <r>
    <x v="585"/>
    <n v="1534.83"/>
    <n v="1526.5"/>
    <n v="1538.855"/>
    <n v="1523.5"/>
    <n v="1E-4"/>
    <x v="2"/>
    <x v="2"/>
    <n v="3"/>
    <x v="26"/>
    <n v="14"/>
    <x v="549"/>
    <s v="Mon"/>
  </r>
  <r>
    <x v="586"/>
    <n v="1535.92"/>
    <n v="1537.73"/>
    <n v="1541.885"/>
    <n v="1529.6849999999999"/>
    <n v="6.9999999999999999E-4"/>
    <x v="2"/>
    <x v="3"/>
    <n v="4"/>
    <x v="27"/>
    <n v="14"/>
    <x v="550"/>
    <s v="Tue"/>
  </r>
  <r>
    <x v="587"/>
    <n v="1533.39"/>
    <n v="1541.78"/>
    <n v="1541.915"/>
    <n v="1526.5"/>
    <n v="-1.6000000000000001E-3"/>
    <x v="2"/>
    <x v="3"/>
    <n v="4"/>
    <x v="27"/>
    <n v="14"/>
    <x v="551"/>
    <s v="Wed"/>
  </r>
  <r>
    <x v="588"/>
    <n v="1533"/>
    <n v="1536.9349999999999"/>
    <n v="1543.5"/>
    <n v="1529.7750000000001"/>
    <n v="-2.9999999999999997E-4"/>
    <x v="2"/>
    <x v="3"/>
    <n v="4"/>
    <x v="27"/>
    <n v="14"/>
    <x v="552"/>
    <s v="Thu"/>
  </r>
  <r>
    <x v="589"/>
    <n v="1529.37"/>
    <n v="1538.0550000000001"/>
    <n v="1589.655"/>
    <n v="1530.0250000000001"/>
    <n v="-2.3999999999999998E-3"/>
    <x v="2"/>
    <x v="3"/>
    <n v="4"/>
    <x v="27"/>
    <n v="14"/>
    <x v="553"/>
    <s v="Fri"/>
  </r>
  <r>
    <x v="590"/>
    <n v="1581.82"/>
    <n v="1538"/>
    <n v="1643.21"/>
    <n v="1530.42"/>
    <n v="3.4299999999999997E-2"/>
    <x v="2"/>
    <x v="3"/>
    <n v="4"/>
    <x v="27"/>
    <n v="15"/>
    <x v="554"/>
    <s v="Mon"/>
  </r>
  <r>
    <x v="591"/>
    <n v="1547.08"/>
    <n v="1582.82"/>
    <n v="1623.25"/>
    <n v="1547.665"/>
    <n v="-2.1999999999999999E-2"/>
    <x v="2"/>
    <x v="3"/>
    <n v="4"/>
    <x v="27"/>
    <n v="15"/>
    <x v="555"/>
    <s v="Tue"/>
  </r>
  <r>
    <x v="592"/>
    <n v="1567.63"/>
    <n v="1569.12"/>
    <n v="1642.355"/>
    <n v="1551.5"/>
    <n v="1.3299999999999999E-2"/>
    <x v="2"/>
    <x v="3"/>
    <n v="4"/>
    <x v="27"/>
    <n v="15"/>
    <x v="556"/>
    <s v="Wed"/>
  </r>
  <r>
    <x v="593"/>
    <n v="1587.12"/>
    <n v="1586.1"/>
    <n v="1622.03"/>
    <n v="1567.375"/>
    <n v="1.24E-2"/>
    <x v="2"/>
    <x v="3"/>
    <n v="4"/>
    <x v="27"/>
    <n v="15"/>
    <x v="557"/>
    <s v="Thu"/>
  </r>
  <r>
    <x v="594"/>
    <n v="1597.13"/>
    <n v="1589.5"/>
    <n v="1627.73"/>
    <n v="1585.845"/>
    <n v="6.3E-3"/>
    <x v="2"/>
    <x v="3"/>
    <n v="4"/>
    <x v="27"/>
    <n v="15"/>
    <x v="558"/>
    <s v="Fri"/>
  </r>
  <r>
    <x v="595"/>
    <n v="1598.38"/>
    <n v="1594.5"/>
    <n v="1625.4"/>
    <n v="1576.5"/>
    <n v="8.0000000000000004E-4"/>
    <x v="2"/>
    <x v="3"/>
    <n v="4"/>
    <x v="27"/>
    <n v="16"/>
    <x v="559"/>
    <s v="Mon"/>
  </r>
  <r>
    <x v="596"/>
    <n v="1602.82"/>
    <n v="1610.39"/>
    <n v="1610.87"/>
    <n v="1596.6849999999999"/>
    <n v="2.8E-3"/>
    <x v="2"/>
    <x v="3"/>
    <n v="4"/>
    <x v="27"/>
    <n v="16"/>
    <x v="560"/>
    <s v="Tue"/>
  </r>
  <r>
    <x v="597"/>
    <n v="1597.29"/>
    <n v="1605.35"/>
    <n v="1620.855"/>
    <n v="1590.1949999999999"/>
    <n v="-3.5000000000000001E-3"/>
    <x v="2"/>
    <x v="3"/>
    <n v="4"/>
    <x v="27"/>
    <n v="16"/>
    <x v="561"/>
    <s v="Wed"/>
  </r>
  <r>
    <x v="598"/>
    <n v="1600.77"/>
    <n v="1601.37"/>
    <n v="1611.88"/>
    <n v="1585.07"/>
    <n v="2.2000000000000001E-3"/>
    <x v="2"/>
    <x v="3"/>
    <n v="4"/>
    <x v="27"/>
    <n v="16"/>
    <x v="562"/>
    <s v="Thu"/>
  </r>
  <r>
    <x v="599"/>
    <n v="1600.5"/>
    <n v="1599.14"/>
    <n v="1612.125"/>
    <n v="1599.07"/>
    <n v="-2.0000000000000001E-4"/>
    <x v="2"/>
    <x v="3"/>
    <n v="4"/>
    <x v="27"/>
    <n v="16"/>
    <x v="563"/>
    <s v="Fri"/>
  </r>
  <r>
    <x v="600"/>
    <n v="1600.71"/>
    <n v="1605"/>
    <n v="1612.3"/>
    <n v="1599.29"/>
    <n v="1E-4"/>
    <x v="2"/>
    <x v="3"/>
    <n v="4"/>
    <x v="27"/>
    <n v="17"/>
    <x v="564"/>
    <s v="Mon"/>
  </r>
  <r>
    <x v="601"/>
    <n v="1604.135"/>
    <n v="1599.58"/>
    <n v="1613.625"/>
    <n v="1590.29"/>
    <n v="2.0999999999999999E-3"/>
    <x v="2"/>
    <x v="3"/>
    <n v="4"/>
    <x v="27"/>
    <n v="17"/>
    <x v="565"/>
    <s v="Tue"/>
  </r>
  <r>
    <x v="602"/>
    <n v="1607.3"/>
    <n v="1605.08"/>
    <n v="1615.43"/>
    <n v="1599.73"/>
    <n v="2E-3"/>
    <x v="2"/>
    <x v="3"/>
    <n v="4"/>
    <x v="27"/>
    <n v="17"/>
    <x v="566"/>
    <s v="Wed"/>
  </r>
  <r>
    <x v="603"/>
    <n v="1608.4349999999999"/>
    <n v="1607.11"/>
    <n v="1614.2249999999999"/>
    <n v="1602.835"/>
    <n v="6.9999999999999999E-4"/>
    <x v="2"/>
    <x v="3"/>
    <n v="4"/>
    <x v="27"/>
    <n v="17"/>
    <x v="567"/>
    <s v="Thu"/>
  </r>
  <r>
    <x v="604"/>
    <n v="1607.66"/>
    <n v="1606.675"/>
    <n v="1613.835"/>
    <n v="1603.61"/>
    <n v="-5.0000000000000001E-4"/>
    <x v="2"/>
    <x v="3"/>
    <n v="4"/>
    <x v="27"/>
    <n v="17"/>
    <x v="568"/>
    <s v="Fri"/>
  </r>
  <r>
    <x v="605"/>
    <n v="1603.95"/>
    <n v="1608.5"/>
    <n v="1612.5"/>
    <n v="1602.26"/>
    <n v="-2.3E-3"/>
    <x v="2"/>
    <x v="3"/>
    <n v="4"/>
    <x v="27"/>
    <n v="18"/>
    <x v="569"/>
    <s v="Mon"/>
  </r>
  <r>
    <x v="606"/>
    <n v="1603.54"/>
    <n v="1603.95"/>
    <n v="1610.425"/>
    <n v="1599.95"/>
    <n v="-2.9999999999999997E-4"/>
    <x v="2"/>
    <x v="3"/>
    <n v="4"/>
    <x v="27"/>
    <n v="18"/>
    <x v="570"/>
    <s v="Tue"/>
  </r>
  <r>
    <x v="607"/>
    <n v="1602.39"/>
    <n v="1603.53"/>
    <n v="1610"/>
    <n v="1597.44"/>
    <n v="-6.9999999999999999E-4"/>
    <x v="2"/>
    <x v="3"/>
    <n v="4"/>
    <x v="27"/>
    <n v="18"/>
    <x v="571"/>
    <s v="Wed"/>
  </r>
  <r>
    <x v="608"/>
    <n v="1605.615"/>
    <n v="1602.0650000000001"/>
    <n v="1610"/>
    <n v="1597.44"/>
    <n v="2E-3"/>
    <x v="2"/>
    <x v="4"/>
    <n v="5"/>
    <x v="28"/>
    <n v="18"/>
    <x v="572"/>
    <s v="Thu"/>
  </r>
  <r>
    <x v="609"/>
    <n v="1603.58"/>
    <n v="1605.615"/>
    <n v="1610"/>
    <n v="1600.425"/>
    <n v="-1.2999999999999999E-3"/>
    <x v="2"/>
    <x v="4"/>
    <n v="5"/>
    <x v="28"/>
    <n v="18"/>
    <x v="573"/>
    <s v="Fri"/>
  </r>
  <r>
    <x v="610"/>
    <n v="1607.08"/>
    <n v="1605.5"/>
    <n v="1610"/>
    <n v="1600.37"/>
    <n v="2.2000000000000001E-3"/>
    <x v="2"/>
    <x v="4"/>
    <n v="5"/>
    <x v="28"/>
    <n v="19"/>
    <x v="574"/>
    <s v="Mon"/>
  </r>
  <r>
    <x v="611"/>
    <n v="1606.7349999999999"/>
    <n v="1607.095"/>
    <n v="1610.29"/>
    <n v="1601.98"/>
    <n v="-2.0000000000000001E-4"/>
    <x v="2"/>
    <x v="4"/>
    <n v="5"/>
    <x v="28"/>
    <n v="19"/>
    <x v="575"/>
    <s v="Tue"/>
  </r>
  <r>
    <x v="612"/>
    <n v="1607.49"/>
    <n v="1606.7149999999999"/>
    <n v="1613.41"/>
    <n v="1603.65"/>
    <n v="5.0000000000000001E-4"/>
    <x v="2"/>
    <x v="4"/>
    <n v="5"/>
    <x v="28"/>
    <n v="19"/>
    <x v="576"/>
    <s v="Wed"/>
  </r>
  <r>
    <x v="613"/>
    <n v="1610.145"/>
    <n v="1607.4549999999999"/>
    <n v="1612.37"/>
    <n v="1605.5550000000001"/>
    <n v="1.6999999999999999E-3"/>
    <x v="2"/>
    <x v="4"/>
    <n v="5"/>
    <x v="28"/>
    <n v="19"/>
    <x v="577"/>
    <s v="Thu"/>
  </r>
  <r>
    <x v="614"/>
    <n v="1607.22"/>
    <n v="1610.165"/>
    <n v="1613.895"/>
    <n v="1604.625"/>
    <n v="-1.8E-3"/>
    <x v="2"/>
    <x v="4"/>
    <n v="5"/>
    <x v="28"/>
    <n v="19"/>
    <x v="578"/>
    <s v="Fri"/>
  </r>
  <r>
    <x v="615"/>
    <n v="1603.3050000000001"/>
    <n v="1608"/>
    <n v="1613.21"/>
    <n v="1598.7"/>
    <n v="-2.3999999999999998E-3"/>
    <x v="2"/>
    <x v="4"/>
    <n v="5"/>
    <x v="28"/>
    <n v="20"/>
    <x v="579"/>
    <s v="Mon"/>
  </r>
  <r>
    <x v="616"/>
    <n v="1601.88"/>
    <n v="1606.15"/>
    <n v="1606.575"/>
    <n v="1597.82"/>
    <n v="-8.9999999999999998E-4"/>
    <x v="2"/>
    <x v="4"/>
    <n v="5"/>
    <x v="28"/>
    <n v="20"/>
    <x v="580"/>
    <s v="Tue"/>
  </r>
  <r>
    <x v="617"/>
    <n v="1600.835"/>
    <n v="1601.87"/>
    <n v="1604.31"/>
    <n v="1597.5150000000001"/>
    <n v="-6.9999999999999999E-4"/>
    <x v="2"/>
    <x v="4"/>
    <n v="5"/>
    <x v="28"/>
    <n v="20"/>
    <x v="581"/>
    <s v="Wed"/>
  </r>
  <r>
    <x v="618"/>
    <n v="1600.18"/>
    <n v="1600.08"/>
    <n v="1604.645"/>
    <n v="1596.4749999999999"/>
    <n v="-4.0000000000000002E-4"/>
    <x v="2"/>
    <x v="4"/>
    <n v="5"/>
    <x v="28"/>
    <n v="20"/>
    <x v="582"/>
    <s v="Thu"/>
  </r>
  <r>
    <x v="619"/>
    <n v="1601.68"/>
    <n v="1600.74"/>
    <n v="1605.175"/>
    <n v="1593.85"/>
    <n v="8.9999999999999998E-4"/>
    <x v="2"/>
    <x v="4"/>
    <n v="5"/>
    <x v="28"/>
    <n v="20"/>
    <x v="583"/>
    <s v="Fri"/>
  </r>
  <r>
    <x v="620"/>
    <n v="1599.9449999999999"/>
    <n v="1602"/>
    <n v="1607.125"/>
    <n v="1596.35"/>
    <n v="-1.1000000000000001E-3"/>
    <x v="2"/>
    <x v="4"/>
    <n v="5"/>
    <x v="28"/>
    <n v="21"/>
    <x v="584"/>
    <s v="Mon"/>
  </r>
  <r>
    <x v="621"/>
    <n v="1596.26"/>
    <n v="1599.48"/>
    <n v="1607.13"/>
    <n v="1593.51"/>
    <n v="-2.3E-3"/>
    <x v="2"/>
    <x v="4"/>
    <n v="5"/>
    <x v="28"/>
    <n v="21"/>
    <x v="585"/>
    <s v="Tue"/>
  </r>
  <r>
    <x v="622"/>
    <n v="1587.855"/>
    <n v="1596.42"/>
    <n v="1598.5050000000001"/>
    <n v="1580"/>
    <n v="-5.3E-3"/>
    <x v="2"/>
    <x v="4"/>
    <n v="5"/>
    <x v="28"/>
    <n v="21"/>
    <x v="586"/>
    <s v="Wed"/>
  </r>
  <r>
    <x v="623"/>
    <n v="1590.0150000000001"/>
    <n v="1587.93"/>
    <n v="1593.35"/>
    <n v="1586.92"/>
    <n v="1.4E-3"/>
    <x v="2"/>
    <x v="4"/>
    <n v="5"/>
    <x v="28"/>
    <n v="21"/>
    <x v="587"/>
    <s v="Thu"/>
  </r>
  <r>
    <x v="624"/>
    <n v="1588.615"/>
    <n v="1587.84"/>
    <n v="1591.165"/>
    <n v="1583.355"/>
    <n v="-8.9999999999999998E-4"/>
    <x v="2"/>
    <x v="4"/>
    <n v="5"/>
    <x v="28"/>
    <n v="21"/>
    <x v="588"/>
    <s v="Fri"/>
  </r>
  <r>
    <x v="625"/>
    <n v="1583.345"/>
    <n v="1586.5"/>
    <n v="1587.6949999999999"/>
    <n v="1579.865"/>
    <n v="-3.3E-3"/>
    <x v="2"/>
    <x v="4"/>
    <n v="5"/>
    <x v="28"/>
    <n v="22"/>
    <x v="589"/>
    <s v="Mon"/>
  </r>
  <r>
    <x v="626"/>
    <n v="1586.44"/>
    <n v="1583.345"/>
    <n v="1590"/>
    <n v="1581.63"/>
    <n v="2E-3"/>
    <x v="2"/>
    <x v="4"/>
    <n v="5"/>
    <x v="28"/>
    <n v="22"/>
    <x v="590"/>
    <s v="Tue"/>
  </r>
  <r>
    <x v="627"/>
    <n v="1587.47"/>
    <n v="1585.35"/>
    <n v="1589.7149999999999"/>
    <n v="1584.35"/>
    <n v="5.9999999999999995E-4"/>
    <x v="2"/>
    <x v="4"/>
    <n v="5"/>
    <x v="28"/>
    <n v="22"/>
    <x v="591"/>
    <s v="Wed"/>
  </r>
  <r>
    <x v="628"/>
    <n v="1589.81"/>
    <n v="1585.64"/>
    <n v="1592.76"/>
    <n v="1585.32"/>
    <n v="1.5E-3"/>
    <x v="2"/>
    <x v="4"/>
    <n v="5"/>
    <x v="28"/>
    <n v="22"/>
    <x v="592"/>
    <s v="Thu"/>
  </r>
  <r>
    <x v="629"/>
    <n v="1587.95"/>
    <n v="1589.81"/>
    <n v="1591.585"/>
    <n v="1585.88"/>
    <n v="-1.1999999999999999E-3"/>
    <x v="2"/>
    <x v="4"/>
    <n v="5"/>
    <x v="28"/>
    <n v="22"/>
    <x v="593"/>
    <s v="Fri"/>
  </r>
  <r>
    <x v="630"/>
    <n v="1584.21"/>
    <n v="1587"/>
    <n v="1590.5"/>
    <n v="1580.2750000000001"/>
    <n v="-2.3999999999999998E-3"/>
    <x v="2"/>
    <x v="5"/>
    <n v="6"/>
    <x v="29"/>
    <n v="23"/>
    <x v="594"/>
    <s v="Mon"/>
  </r>
  <r>
    <x v="631"/>
    <n v="1581.2349999999999"/>
    <n v="1582"/>
    <n v="1587.075"/>
    <n v="1578"/>
    <n v="-1.9E-3"/>
    <x v="2"/>
    <x v="5"/>
    <n v="6"/>
    <x v="29"/>
    <n v="23"/>
    <x v="595"/>
    <s v="Tue"/>
  </r>
  <r>
    <x v="632"/>
    <n v="1577.38"/>
    <n v="1581.2650000000001"/>
    <n v="1584.5"/>
    <n v="1573.13"/>
    <n v="-2.3999999999999998E-3"/>
    <x v="2"/>
    <x v="5"/>
    <n v="6"/>
    <x v="29"/>
    <n v="23"/>
    <x v="596"/>
    <s v="Wed"/>
  </r>
  <r>
    <x v="633"/>
    <n v="1558.845"/>
    <n v="1577.47"/>
    <n v="1583.425"/>
    <n v="1554.84"/>
    <n v="-1.18E-2"/>
    <x v="2"/>
    <x v="5"/>
    <n v="6"/>
    <x v="29"/>
    <n v="23"/>
    <x v="597"/>
    <s v="Thu"/>
  </r>
  <r>
    <x v="634"/>
    <n v="1558.155"/>
    <n v="1560.0150000000001"/>
    <n v="1563.2449999999999"/>
    <n v="1554.58"/>
    <n v="-4.0000000000000002E-4"/>
    <x v="2"/>
    <x v="5"/>
    <n v="6"/>
    <x v="29"/>
    <n v="23"/>
    <x v="598"/>
    <s v="Fri"/>
  </r>
  <r>
    <x v="635"/>
    <n v="1558.12"/>
    <n v="1560.5"/>
    <n v="1562.5"/>
    <n v="1554.83"/>
    <n v="0"/>
    <x v="2"/>
    <x v="5"/>
    <n v="6"/>
    <x v="29"/>
    <n v="24"/>
    <x v="599"/>
    <s v="Mon"/>
  </r>
  <r>
    <x v="636"/>
    <n v="1544.19"/>
    <n v="1558.105"/>
    <n v="1560.0150000000001"/>
    <n v="1539.42"/>
    <n v="-8.8999999999999999E-3"/>
    <x v="2"/>
    <x v="5"/>
    <n v="6"/>
    <x v="29"/>
    <n v="24"/>
    <x v="600"/>
    <s v="Tue"/>
  </r>
  <r>
    <x v="637"/>
    <n v="1543.1"/>
    <n v="1544.165"/>
    <n v="1559"/>
    <n v="1538.5"/>
    <n v="-6.9999999999999999E-4"/>
    <x v="2"/>
    <x v="5"/>
    <n v="6"/>
    <x v="29"/>
    <n v="24"/>
    <x v="601"/>
    <s v="Wed"/>
  </r>
  <r>
    <x v="638"/>
    <n v="1540.38"/>
    <n v="1559"/>
    <n v="1559"/>
    <n v="1533"/>
    <n v="-1.8E-3"/>
    <x v="2"/>
    <x v="5"/>
    <n v="6"/>
    <x v="29"/>
    <n v="24"/>
    <x v="602"/>
    <s v="Thu"/>
  </r>
  <r>
    <x v="639"/>
    <n v="1544.875"/>
    <n v="1541.5050000000001"/>
    <n v="1562.5"/>
    <n v="1537.9"/>
    <n v="2.8999999999999998E-3"/>
    <x v="2"/>
    <x v="5"/>
    <n v="6"/>
    <x v="29"/>
    <n v="24"/>
    <x v="603"/>
    <s v="Fri"/>
  </r>
  <r>
    <x v="640"/>
    <n v="1543.49"/>
    <n v="1548.6"/>
    <n v="1558.8"/>
    <n v="1541.375"/>
    <n v="-8.9999999999999998E-4"/>
    <x v="2"/>
    <x v="5"/>
    <n v="6"/>
    <x v="29"/>
    <n v="25"/>
    <x v="604"/>
    <s v="Mon"/>
  </r>
  <r>
    <x v="641"/>
    <n v="1545.15"/>
    <n v="1543.4849999999999"/>
    <n v="1549.88"/>
    <n v="1542.085"/>
    <n v="1.1000000000000001E-3"/>
    <x v="2"/>
    <x v="5"/>
    <n v="6"/>
    <x v="29"/>
    <n v="25"/>
    <x v="605"/>
    <s v="Tue"/>
  </r>
  <r>
    <x v="642"/>
    <n v="1546.94"/>
    <n v="1543.17"/>
    <n v="1549.9"/>
    <n v="1542.375"/>
    <n v="1.1999999999999999E-3"/>
    <x v="2"/>
    <x v="5"/>
    <n v="6"/>
    <x v="29"/>
    <n v="25"/>
    <x v="606"/>
    <s v="Wed"/>
  </r>
  <r>
    <x v="643"/>
    <n v="1548.7950000000001"/>
    <n v="1546.9449999999999"/>
    <n v="1552.8050000000001"/>
    <n v="1543.6949999999999"/>
    <n v="1.1999999999999999E-3"/>
    <x v="2"/>
    <x v="5"/>
    <n v="6"/>
    <x v="29"/>
    <n v="25"/>
    <x v="607"/>
    <s v="Thu"/>
  </r>
  <r>
    <x v="644"/>
    <n v="1548.61"/>
    <n v="1548.8"/>
    <n v="1554.2"/>
    <n v="1545.29"/>
    <n v="-1E-4"/>
    <x v="2"/>
    <x v="5"/>
    <n v="6"/>
    <x v="29"/>
    <n v="25"/>
    <x v="608"/>
    <s v="Fri"/>
  </r>
  <r>
    <x v="645"/>
    <n v="1550.0150000000001"/>
    <n v="1549.5"/>
    <n v="1555.75"/>
    <n v="1544.76"/>
    <n v="8.9999999999999998E-4"/>
    <x v="2"/>
    <x v="5"/>
    <n v="6"/>
    <x v="29"/>
    <n v="26"/>
    <x v="609"/>
    <s v="Mon"/>
  </r>
  <r>
    <x v="646"/>
    <n v="1548.905"/>
    <n v="1547.04"/>
    <n v="1553.27"/>
    <n v="1544.85"/>
    <n v="-6.9999999999999999E-4"/>
    <x v="2"/>
    <x v="5"/>
    <n v="6"/>
    <x v="29"/>
    <n v="26"/>
    <x v="610"/>
    <s v="Tue"/>
  </r>
  <r>
    <x v="647"/>
    <n v="1549.88"/>
    <n v="1548.53"/>
    <n v="1552.52"/>
    <n v="1544.85"/>
    <n v="5.9999999999999995E-4"/>
    <x v="2"/>
    <x v="5"/>
    <n v="6"/>
    <x v="29"/>
    <n v="26"/>
    <x v="611"/>
    <s v="Wed"/>
  </r>
  <r>
    <x v="648"/>
    <n v="1542.665"/>
    <n v="1549.865"/>
    <n v="1552.33"/>
    <n v="1539.46"/>
    <n v="-4.7000000000000002E-3"/>
    <x v="2"/>
    <x v="5"/>
    <n v="6"/>
    <x v="29"/>
    <n v="26"/>
    <x v="612"/>
    <s v="Thu"/>
  </r>
  <r>
    <x v="649"/>
    <n v="1542.47"/>
    <n v="1542.67"/>
    <n v="1550.5"/>
    <n v="1537.7449999999999"/>
    <n v="-1E-4"/>
    <x v="2"/>
    <x v="5"/>
    <n v="6"/>
    <x v="29"/>
    <n v="26"/>
    <x v="613"/>
    <s v="Fri"/>
  </r>
  <r>
    <x v="650"/>
    <n v="1536.375"/>
    <n v="1543.5"/>
    <n v="1545.5"/>
    <n v="1528.675"/>
    <n v="-4.0000000000000001E-3"/>
    <x v="2"/>
    <x v="5"/>
    <n v="6"/>
    <x v="29"/>
    <n v="27"/>
    <x v="614"/>
    <s v="Mon"/>
  </r>
  <r>
    <x v="651"/>
    <n v="1534.08"/>
    <n v="1545"/>
    <n v="1545"/>
    <n v="1530.05"/>
    <n v="-1.5E-3"/>
    <x v="2"/>
    <x v="6"/>
    <n v="7"/>
    <x v="30"/>
    <n v="27"/>
    <x v="615"/>
    <s v="Tue"/>
  </r>
  <r>
    <x v="652"/>
    <n v="1531.9849999999999"/>
    <n v="1534.08"/>
    <n v="1536.48"/>
    <n v="1524.835"/>
    <n v="-1.4E-3"/>
    <x v="2"/>
    <x v="6"/>
    <n v="7"/>
    <x v="30"/>
    <n v="27"/>
    <x v="616"/>
    <s v="Wed"/>
  </r>
  <r>
    <x v="653"/>
    <n v="1532.74"/>
    <n v="1531.97"/>
    <n v="1535"/>
    <n v="1523.9349999999999"/>
    <n v="5.0000000000000001E-4"/>
    <x v="2"/>
    <x v="6"/>
    <n v="7"/>
    <x v="30"/>
    <n v="27"/>
    <x v="617"/>
    <s v="Thu"/>
  </r>
  <r>
    <x v="654"/>
    <n v="1530.2"/>
    <n v="1533.0050000000001"/>
    <n v="1533.17"/>
    <n v="1524.8050000000001"/>
    <n v="-1.6999999999999999E-3"/>
    <x v="2"/>
    <x v="6"/>
    <n v="7"/>
    <x v="30"/>
    <n v="27"/>
    <x v="618"/>
    <s v="Fri"/>
  </r>
  <r>
    <x v="655"/>
    <n v="1533.845"/>
    <n v="1527.5"/>
    <n v="1535.115"/>
    <n v="1524.97"/>
    <n v="2.3999999999999998E-3"/>
    <x v="2"/>
    <x v="6"/>
    <n v="7"/>
    <x v="30"/>
    <n v="28"/>
    <x v="619"/>
    <s v="Mon"/>
  </r>
  <r>
    <x v="656"/>
    <n v="1533.06"/>
    <n v="1531.97"/>
    <n v="1534.5450000000001"/>
    <n v="1527.2349999999999"/>
    <n v="-5.0000000000000001E-4"/>
    <x v="2"/>
    <x v="6"/>
    <n v="7"/>
    <x v="30"/>
    <n v="28"/>
    <x v="620"/>
    <s v="Tue"/>
  </r>
  <r>
    <x v="657"/>
    <n v="1532.3150000000001"/>
    <n v="1533.105"/>
    <n v="1535.2850000000001"/>
    <n v="1525.92"/>
    <n v="-5.0000000000000001E-4"/>
    <x v="2"/>
    <x v="6"/>
    <n v="7"/>
    <x v="30"/>
    <n v="28"/>
    <x v="621"/>
    <s v="Wed"/>
  </r>
  <r>
    <x v="658"/>
    <n v="1530.395"/>
    <n v="1532.21"/>
    <n v="1534.5"/>
    <n v="1523.165"/>
    <n v="-1.2999999999999999E-3"/>
    <x v="2"/>
    <x v="6"/>
    <n v="7"/>
    <x v="30"/>
    <n v="28"/>
    <x v="622"/>
    <s v="Thu"/>
  </r>
  <r>
    <x v="659"/>
    <n v="1531.0350000000001"/>
    <n v="1530.395"/>
    <n v="1534.2750000000001"/>
    <n v="1524.09"/>
    <n v="4.0000000000000002E-4"/>
    <x v="2"/>
    <x v="6"/>
    <n v="7"/>
    <x v="30"/>
    <n v="28"/>
    <x v="623"/>
    <s v="Fri"/>
  </r>
  <r>
    <x v="660"/>
    <n v="1528.86"/>
    <n v="1528.5"/>
    <n v="1533.9849999999999"/>
    <n v="1525.59"/>
    <n v="-1.4E-3"/>
    <x v="2"/>
    <x v="6"/>
    <n v="7"/>
    <x v="30"/>
    <n v="29"/>
    <x v="624"/>
    <s v="Mon"/>
  </r>
  <r>
    <x v="661"/>
    <n v="1528.22"/>
    <n v="1528.02"/>
    <n v="1534.25"/>
    <n v="1526.345"/>
    <n v="-4.0000000000000002E-4"/>
    <x v="2"/>
    <x v="6"/>
    <n v="7"/>
    <x v="30"/>
    <n v="29"/>
    <x v="625"/>
    <s v="Tue"/>
  </r>
  <r>
    <x v="662"/>
    <n v="1530.1949999999999"/>
    <n v="1527.9349999999999"/>
    <n v="1531.165"/>
    <n v="1524.2850000000001"/>
    <n v="1.2999999999999999E-3"/>
    <x v="2"/>
    <x v="6"/>
    <n v="7"/>
    <x v="30"/>
    <n v="29"/>
    <x v="626"/>
    <s v="Wed"/>
  </r>
  <r>
    <x v="663"/>
    <n v="1527.51"/>
    <n v="1530.1949999999999"/>
    <n v="1532.81"/>
    <n v="1525.16"/>
    <n v="-1.8E-3"/>
    <x v="2"/>
    <x v="6"/>
    <n v="7"/>
    <x v="30"/>
    <n v="29"/>
    <x v="627"/>
    <s v="Thu"/>
  </r>
  <r>
    <x v="664"/>
    <n v="1531.93"/>
    <n v="1533.31"/>
    <n v="1535.3150000000001"/>
    <n v="1526.44"/>
    <n v="2.8999999999999998E-3"/>
    <x v="2"/>
    <x v="6"/>
    <n v="7"/>
    <x v="30"/>
    <n v="29"/>
    <x v="628"/>
    <s v="Fri"/>
  </r>
  <r>
    <x v="665"/>
    <n v="1529.97"/>
    <n v="1528.95"/>
    <n v="1537.06"/>
    <n v="1527.4749999999999"/>
    <n v="-1.2999999999999999E-3"/>
    <x v="2"/>
    <x v="6"/>
    <n v="7"/>
    <x v="30"/>
    <n v="30"/>
    <x v="629"/>
    <s v="Mon"/>
  </r>
  <r>
    <x v="666"/>
    <n v="1531.585"/>
    <n v="1531.7850000000001"/>
    <n v="1536.2049999999999"/>
    <n v="1526.5250000000001"/>
    <n v="1.1000000000000001E-3"/>
    <x v="2"/>
    <x v="6"/>
    <n v="7"/>
    <x v="30"/>
    <n v="30"/>
    <x v="630"/>
    <s v="Tue"/>
  </r>
  <r>
    <x v="667"/>
    <n v="1533.165"/>
    <n v="1527.05"/>
    <n v="1535.24"/>
    <n v="1526.085"/>
    <n v="1E-3"/>
    <x v="2"/>
    <x v="6"/>
    <n v="7"/>
    <x v="30"/>
    <n v="30"/>
    <x v="631"/>
    <s v="Wed"/>
  </r>
  <r>
    <x v="668"/>
    <n v="1532.1949999999999"/>
    <n v="1533.1949999999999"/>
    <n v="1535.5550000000001"/>
    <n v="1523"/>
    <n v="-5.9999999999999995E-4"/>
    <x v="2"/>
    <x v="6"/>
    <n v="7"/>
    <x v="30"/>
    <n v="30"/>
    <x v="632"/>
    <s v="Thu"/>
  </r>
  <r>
    <x v="669"/>
    <n v="1532.655"/>
    <n v="1532.96"/>
    <n v="1534.385"/>
    <n v="1527.5050000000001"/>
    <n v="2.9999999999999997E-4"/>
    <x v="2"/>
    <x v="6"/>
    <n v="7"/>
    <x v="30"/>
    <n v="30"/>
    <x v="633"/>
    <s v="Fri"/>
  </r>
  <r>
    <x v="670"/>
    <n v="1530.7650000000001"/>
    <n v="1528"/>
    <n v="1534.0250000000001"/>
    <n v="1525.375"/>
    <n v="-1.1999999999999999E-3"/>
    <x v="2"/>
    <x v="6"/>
    <n v="7"/>
    <x v="30"/>
    <n v="31"/>
    <x v="634"/>
    <s v="Mon"/>
  </r>
  <r>
    <x v="671"/>
    <n v="1533"/>
    <n v="1530.77"/>
    <n v="1535.075"/>
    <n v="1528.51"/>
    <n v="1.5E-3"/>
    <x v="2"/>
    <x v="6"/>
    <n v="7"/>
    <x v="30"/>
    <n v="31"/>
    <x v="635"/>
    <s v="Tue"/>
  </r>
  <r>
    <x v="672"/>
    <n v="1530.35"/>
    <n v="1532.12"/>
    <n v="1536.08"/>
    <n v="1529.105"/>
    <n v="-1.6999999999999999E-3"/>
    <x v="2"/>
    <x v="6"/>
    <n v="7"/>
    <x v="30"/>
    <n v="31"/>
    <x v="636"/>
    <s v="Wed"/>
  </r>
  <r>
    <x v="673"/>
    <n v="1530.895"/>
    <n v="1531.7650000000001"/>
    <n v="1534.41"/>
    <n v="1529"/>
    <n v="4.0000000000000002E-4"/>
    <x v="2"/>
    <x v="6"/>
    <n v="7"/>
    <x v="30"/>
    <n v="31"/>
    <x v="637"/>
    <s v="Thu"/>
  </r>
  <r>
    <x v="674"/>
    <n v="1532.9649999999999"/>
    <n v="1530.89"/>
    <n v="1534.94"/>
    <n v="1528.0050000000001"/>
    <n v="1.4E-3"/>
    <x v="2"/>
    <x v="7"/>
    <n v="8"/>
    <x v="31"/>
    <n v="31"/>
    <x v="638"/>
    <s v="Fri"/>
  </r>
  <r>
    <x v="675"/>
    <n v="1525.6"/>
    <n v="1519"/>
    <n v="1535.3"/>
    <n v="1509"/>
    <n v="-4.7999999999999996E-3"/>
    <x v="2"/>
    <x v="7"/>
    <n v="8"/>
    <x v="31"/>
    <n v="32"/>
    <x v="639"/>
    <s v="Mon"/>
  </r>
  <r>
    <x v="676"/>
    <n v="1526.3150000000001"/>
    <n v="1524.67"/>
    <n v="1534.42"/>
    <n v="1519.2650000000001"/>
    <n v="5.0000000000000001E-4"/>
    <x v="2"/>
    <x v="7"/>
    <n v="8"/>
    <x v="31"/>
    <n v="32"/>
    <x v="640"/>
    <s v="Tue"/>
  </r>
  <r>
    <x v="677"/>
    <n v="1531.2"/>
    <n v="1532.26"/>
    <n v="1534.2049999999999"/>
    <n v="1525.08"/>
    <n v="3.2000000000000002E-3"/>
    <x v="2"/>
    <x v="7"/>
    <n v="8"/>
    <x v="31"/>
    <n v="32"/>
    <x v="641"/>
    <s v="Wed"/>
  </r>
  <r>
    <x v="678"/>
    <n v="1534.4649999999999"/>
    <n v="1530"/>
    <n v="1536.2049999999999"/>
    <n v="1524.875"/>
    <n v="2.0999999999999999E-3"/>
    <x v="2"/>
    <x v="7"/>
    <n v="8"/>
    <x v="31"/>
    <n v="32"/>
    <x v="642"/>
    <s v="Thu"/>
  </r>
  <r>
    <x v="679"/>
    <n v="1532.7049999999999"/>
    <n v="1534.44"/>
    <n v="1535.4549999999999"/>
    <n v="1529.395"/>
    <n v="-1.1000000000000001E-3"/>
    <x v="2"/>
    <x v="7"/>
    <n v="8"/>
    <x v="31"/>
    <n v="32"/>
    <x v="643"/>
    <s v="Fri"/>
  </r>
  <r>
    <x v="680"/>
    <n v="1536.13"/>
    <n v="1532"/>
    <n v="1536.69"/>
    <n v="1530.03"/>
    <n v="2.2000000000000001E-3"/>
    <x v="2"/>
    <x v="7"/>
    <n v="8"/>
    <x v="31"/>
    <n v="33"/>
    <x v="644"/>
    <s v="Mon"/>
  </r>
  <r>
    <x v="681"/>
    <n v="1536.2049999999999"/>
    <n v="1536.145"/>
    <n v="1538.0550000000001"/>
    <n v="1533.855"/>
    <n v="0"/>
    <x v="2"/>
    <x v="7"/>
    <n v="8"/>
    <x v="31"/>
    <n v="33"/>
    <x v="645"/>
    <s v="Tue"/>
  </r>
  <r>
    <x v="682"/>
    <n v="1531.8"/>
    <n v="1534"/>
    <n v="1537.5650000000001"/>
    <n v="1531.625"/>
    <n v="-2.8999999999999998E-3"/>
    <x v="2"/>
    <x v="7"/>
    <n v="8"/>
    <x v="31"/>
    <n v="33"/>
    <x v="646"/>
    <s v="Wed"/>
  </r>
  <r>
    <x v="683"/>
    <n v="1531.28"/>
    <n v="1531.8"/>
    <n v="1536.2"/>
    <n v="1531.28"/>
    <n v="-2.9999999999999997E-4"/>
    <x v="2"/>
    <x v="7"/>
    <n v="8"/>
    <x v="31"/>
    <n v="33"/>
    <x v="647"/>
    <s v="Thu"/>
  </r>
  <r>
    <x v="684"/>
    <n v="1529.43"/>
    <n v="1531.28"/>
    <n v="1535.375"/>
    <n v="1529.2149999999999"/>
    <n v="-1.1999999999999999E-3"/>
    <x v="2"/>
    <x v="7"/>
    <n v="8"/>
    <x v="31"/>
    <n v="33"/>
    <x v="648"/>
    <s v="Fri"/>
  </r>
  <r>
    <x v="685"/>
    <n v="1534.26"/>
    <n v="1529"/>
    <n v="1535.53"/>
    <n v="1528.7149999999999"/>
    <n v="3.2000000000000002E-3"/>
    <x v="2"/>
    <x v="7"/>
    <n v="8"/>
    <x v="31"/>
    <n v="34"/>
    <x v="649"/>
    <s v="Mon"/>
  </r>
  <r>
    <x v="686"/>
    <n v="1533.01"/>
    <n v="1529.77"/>
    <n v="1536.4"/>
    <n v="1529.77"/>
    <n v="-8.0000000000000004E-4"/>
    <x v="2"/>
    <x v="7"/>
    <n v="8"/>
    <x v="31"/>
    <n v="34"/>
    <x v="650"/>
    <s v="Tue"/>
  </r>
  <r>
    <x v="687"/>
    <n v="1536.81"/>
    <n v="1534.31"/>
    <n v="1537.845"/>
    <n v="1532.585"/>
    <n v="2.5000000000000001E-3"/>
    <x v="2"/>
    <x v="7"/>
    <n v="8"/>
    <x v="31"/>
    <n v="34"/>
    <x v="651"/>
    <s v="Wed"/>
  </r>
  <r>
    <x v="688"/>
    <n v="1536.76"/>
    <n v="1532.93"/>
    <n v="1537.6"/>
    <n v="1532.93"/>
    <n v="0"/>
    <x v="2"/>
    <x v="7"/>
    <n v="8"/>
    <x v="31"/>
    <n v="34"/>
    <x v="652"/>
    <s v="Thu"/>
  </r>
  <r>
    <x v="689"/>
    <n v="1535.55"/>
    <n v="1536.77"/>
    <n v="1539.625"/>
    <n v="1533.2650000000001"/>
    <n v="-8.0000000000000004E-4"/>
    <x v="2"/>
    <x v="7"/>
    <n v="8"/>
    <x v="31"/>
    <n v="34"/>
    <x v="653"/>
    <s v="Fri"/>
  </r>
  <r>
    <x v="690"/>
    <n v="1536.56"/>
    <n v="1535.04"/>
    <n v="1537.75"/>
    <n v="1519.46"/>
    <n v="6.9999999999999999E-4"/>
    <x v="2"/>
    <x v="7"/>
    <n v="8"/>
    <x v="31"/>
    <n v="35"/>
    <x v="654"/>
    <s v="Mon"/>
  </r>
  <r>
    <x v="691"/>
    <n v="1536.96"/>
    <n v="1536.68"/>
    <n v="1537.94"/>
    <n v="1530.38"/>
    <n v="2.9999999999999997E-4"/>
    <x v="2"/>
    <x v="7"/>
    <n v="8"/>
    <x v="31"/>
    <n v="35"/>
    <x v="655"/>
    <s v="Tue"/>
  </r>
  <r>
    <x v="692"/>
    <n v="1536.2650000000001"/>
    <n v="1537"/>
    <n v="1538.3150000000001"/>
    <n v="1533.155"/>
    <n v="-5.0000000000000001E-4"/>
    <x v="2"/>
    <x v="7"/>
    <n v="8"/>
    <x v="31"/>
    <n v="35"/>
    <x v="656"/>
    <s v="Wed"/>
  </r>
  <r>
    <x v="693"/>
    <n v="1533.88"/>
    <n v="1536.07"/>
    <n v="1538.9749999999999"/>
    <n v="1533.4549999999999"/>
    <n v="-1.6000000000000001E-3"/>
    <x v="2"/>
    <x v="7"/>
    <n v="8"/>
    <x v="31"/>
    <n v="35"/>
    <x v="657"/>
    <s v="Thu"/>
  </r>
  <r>
    <x v="694"/>
    <n v="1536.95"/>
    <n v="1534.32"/>
    <n v="1537.44"/>
    <n v="1531.8"/>
    <n v="2E-3"/>
    <x v="2"/>
    <x v="7"/>
    <n v="8"/>
    <x v="31"/>
    <n v="35"/>
    <x v="658"/>
    <s v="Fri"/>
  </r>
  <r>
    <x v="695"/>
    <n v="1529.68"/>
    <n v="1532.57"/>
    <n v="1534.605"/>
    <n v="1526.2349999999999"/>
    <n v="-4.7000000000000002E-3"/>
    <x v="2"/>
    <x v="8"/>
    <n v="9"/>
    <x v="32"/>
    <n v="36"/>
    <x v="659"/>
    <s v="Mon"/>
  </r>
  <r>
    <x v="696"/>
    <n v="1539"/>
    <n v="1528.73"/>
    <n v="1539"/>
    <n v="1525.2850000000001"/>
    <n v="6.1000000000000004E-3"/>
    <x v="2"/>
    <x v="8"/>
    <n v="9"/>
    <x v="32"/>
    <n v="36"/>
    <x v="660"/>
    <s v="Tue"/>
  </r>
  <r>
    <x v="697"/>
    <n v="1539.5050000000001"/>
    <n v="1536.405"/>
    <n v="1539.5050000000001"/>
    <n v="1524.73"/>
    <n v="2.9999999999999997E-4"/>
    <x v="2"/>
    <x v="8"/>
    <n v="9"/>
    <x v="32"/>
    <n v="36"/>
    <x v="661"/>
    <s v="Wed"/>
  </r>
  <r>
    <x v="698"/>
    <n v="1526.19"/>
    <n v="1525.47"/>
    <n v="1539.5050000000001"/>
    <n v="1517.8050000000001"/>
    <n v="-8.6E-3"/>
    <x v="2"/>
    <x v="8"/>
    <n v="9"/>
    <x v="32"/>
    <n v="36"/>
    <x v="662"/>
    <s v="Thu"/>
  </r>
  <r>
    <x v="699"/>
    <n v="1528.2950000000001"/>
    <n v="1526.19"/>
    <n v="1529.41"/>
    <n v="1517.51"/>
    <n v="1.4E-3"/>
    <x v="2"/>
    <x v="8"/>
    <n v="9"/>
    <x v="32"/>
    <n v="36"/>
    <x v="663"/>
    <s v="Fri"/>
  </r>
  <r>
    <x v="700"/>
    <n v="1506.49"/>
    <n v="1517.51"/>
    <n v="1527.12"/>
    <n v="1503.14"/>
    <n v="-1.43E-2"/>
    <x v="2"/>
    <x v="8"/>
    <n v="9"/>
    <x v="32"/>
    <n v="37"/>
    <x v="664"/>
    <s v="Mon"/>
  </r>
  <r>
    <x v="701"/>
    <n v="1506.175"/>
    <n v="1507.73"/>
    <n v="1512.61"/>
    <n v="1503.11"/>
    <n v="-2.0000000000000001E-4"/>
    <x v="2"/>
    <x v="8"/>
    <n v="9"/>
    <x v="32"/>
    <n v="37"/>
    <x v="665"/>
    <s v="Tue"/>
  </r>
  <r>
    <x v="702"/>
    <n v="1503.63"/>
    <n v="1506.16"/>
    <n v="1514.5"/>
    <n v="1500.99"/>
    <n v="-1.6999999999999999E-3"/>
    <x v="2"/>
    <x v="8"/>
    <n v="9"/>
    <x v="32"/>
    <n v="37"/>
    <x v="666"/>
    <s v="Wed"/>
  </r>
  <r>
    <x v="703"/>
    <n v="1504.7"/>
    <n v="1504.075"/>
    <n v="1508.45"/>
    <n v="1498"/>
    <n v="6.9999999999999999E-4"/>
    <x v="2"/>
    <x v="8"/>
    <n v="9"/>
    <x v="32"/>
    <n v="37"/>
    <x v="667"/>
    <s v="Thu"/>
  </r>
  <r>
    <x v="704"/>
    <n v="1499.59"/>
    <n v="1502.27"/>
    <n v="1504.62"/>
    <n v="1499.04"/>
    <n v="-3.3999999999999998E-3"/>
    <x v="2"/>
    <x v="8"/>
    <n v="9"/>
    <x v="32"/>
    <n v="37"/>
    <x v="668"/>
    <s v="Fri"/>
  </r>
  <r>
    <x v="705"/>
    <n v="1498.1"/>
    <n v="1500.5"/>
    <n v="1505.22"/>
    <n v="1497.37"/>
    <n v="-1E-3"/>
    <x v="2"/>
    <x v="8"/>
    <n v="9"/>
    <x v="32"/>
    <n v="38"/>
    <x v="669"/>
    <s v="Mon"/>
  </r>
  <r>
    <x v="706"/>
    <n v="1495.25"/>
    <n v="1498.15"/>
    <n v="1501.5150000000001"/>
    <n v="1488.9"/>
    <n v="-1.9E-3"/>
    <x v="2"/>
    <x v="8"/>
    <n v="9"/>
    <x v="32"/>
    <n v="38"/>
    <x v="670"/>
    <s v="Tue"/>
  </r>
  <r>
    <x v="707"/>
    <n v="1495.51"/>
    <n v="1491.35"/>
    <n v="1497.0450000000001"/>
    <n v="1487.155"/>
    <n v="2.0000000000000001E-4"/>
    <x v="2"/>
    <x v="8"/>
    <n v="9"/>
    <x v="32"/>
    <n v="38"/>
    <x v="671"/>
    <s v="Wed"/>
  </r>
  <r>
    <x v="708"/>
    <n v="1495.655"/>
    <n v="1495.59"/>
    <n v="1500.145"/>
    <n v="1488.62"/>
    <n v="1E-4"/>
    <x v="2"/>
    <x v="8"/>
    <n v="9"/>
    <x v="32"/>
    <n v="38"/>
    <x v="672"/>
    <s v="Thu"/>
  </r>
  <r>
    <x v="709"/>
    <n v="1492.81"/>
    <n v="1497.655"/>
    <n v="1501.895"/>
    <n v="1490.7750000000001"/>
    <n v="-1.9E-3"/>
    <x v="2"/>
    <x v="8"/>
    <n v="9"/>
    <x v="32"/>
    <n v="38"/>
    <x v="673"/>
    <s v="Fri"/>
  </r>
  <r>
    <x v="710"/>
    <n v="1493.2750000000001"/>
    <n v="1495.5"/>
    <n v="1497.75"/>
    <n v="1488.35"/>
    <n v="2.9999999999999997E-4"/>
    <x v="2"/>
    <x v="8"/>
    <n v="9"/>
    <x v="32"/>
    <n v="39"/>
    <x v="674"/>
    <s v="Mon"/>
  </r>
  <r>
    <x v="711"/>
    <n v="1490.345"/>
    <n v="1488.65"/>
    <n v="1494.8050000000001"/>
    <n v="1486.42"/>
    <n v="-2E-3"/>
    <x v="2"/>
    <x v="8"/>
    <n v="9"/>
    <x v="32"/>
    <n v="39"/>
    <x v="675"/>
    <s v="Tue"/>
  </r>
  <r>
    <x v="712"/>
    <n v="1491.88"/>
    <n v="1490.375"/>
    <n v="1494.5350000000001"/>
    <n v="1486.7550000000001"/>
    <n v="1E-3"/>
    <x v="2"/>
    <x v="8"/>
    <n v="9"/>
    <x v="32"/>
    <n v="39"/>
    <x v="676"/>
    <s v="Wed"/>
  </r>
  <r>
    <x v="713"/>
    <n v="1490.02"/>
    <n v="1491.88"/>
    <n v="1493.6"/>
    <n v="1486.155"/>
    <n v="-1.1999999999999999E-3"/>
    <x v="2"/>
    <x v="8"/>
    <n v="9"/>
    <x v="32"/>
    <n v="39"/>
    <x v="677"/>
    <s v="Thu"/>
  </r>
  <r>
    <x v="714"/>
    <n v="1486.22"/>
    <n v="1490.0150000000001"/>
    <n v="1503.75"/>
    <n v="1483.04"/>
    <n v="-2.5999999999999999E-3"/>
    <x v="2"/>
    <x v="8"/>
    <n v="9"/>
    <x v="32"/>
    <n v="39"/>
    <x v="678"/>
    <s v="Fri"/>
  </r>
  <r>
    <x v="715"/>
    <n v="1485.675"/>
    <n v="1484.91"/>
    <n v="1488.135"/>
    <n v="1480.31"/>
    <n v="-4.0000000000000002E-4"/>
    <x v="2"/>
    <x v="8"/>
    <n v="9"/>
    <x v="32"/>
    <n v="40"/>
    <x v="679"/>
    <s v="Mon"/>
  </r>
  <r>
    <x v="716"/>
    <n v="1483.175"/>
    <n v="1481.59"/>
    <n v="1486.2650000000001"/>
    <n v="1475"/>
    <n v="-1.6999999999999999E-3"/>
    <x v="2"/>
    <x v="8"/>
    <n v="9"/>
    <x v="32"/>
    <n v="40"/>
    <x v="680"/>
    <s v="Tue"/>
  </r>
  <r>
    <x v="717"/>
    <n v="1483.1949999999999"/>
    <n v="1483.24"/>
    <n v="1485.875"/>
    <n v="1477.59"/>
    <n v="0"/>
    <x v="2"/>
    <x v="9"/>
    <n v="10"/>
    <x v="33"/>
    <n v="40"/>
    <x v="681"/>
    <s v="Wed"/>
  </r>
  <r>
    <x v="718"/>
    <n v="1469.73"/>
    <n v="1477.7"/>
    <n v="1486"/>
    <n v="1455.8"/>
    <n v="-9.1000000000000004E-3"/>
    <x v="2"/>
    <x v="9"/>
    <n v="10"/>
    <x v="33"/>
    <n v="40"/>
    <x v="682"/>
    <s v="Thu"/>
  </r>
  <r>
    <x v="719"/>
    <n v="1471.165"/>
    <n v="1469.73"/>
    <n v="1471.51"/>
    <n v="1460.0650000000001"/>
    <n v="1E-3"/>
    <x v="2"/>
    <x v="9"/>
    <n v="10"/>
    <x v="33"/>
    <n v="40"/>
    <x v="683"/>
    <s v="Fri"/>
  </r>
  <r>
    <x v="720"/>
    <n v="1471.2"/>
    <n v="1461.53"/>
    <n v="1472.6949999999999"/>
    <n v="1460.2149999999999"/>
    <n v="0"/>
    <x v="2"/>
    <x v="9"/>
    <n v="10"/>
    <x v="33"/>
    <n v="41"/>
    <x v="684"/>
    <s v="Mon"/>
  </r>
  <r>
    <x v="721"/>
    <n v="1470.7750000000001"/>
    <n v="1466.2"/>
    <n v="1475.385"/>
    <n v="1464.73"/>
    <n v="-2.9999999999999997E-4"/>
    <x v="2"/>
    <x v="9"/>
    <n v="10"/>
    <x v="33"/>
    <n v="41"/>
    <x v="685"/>
    <s v="Tue"/>
  </r>
  <r>
    <x v="722"/>
    <n v="1473"/>
    <n v="1470.7750000000001"/>
    <n v="1475.2149999999999"/>
    <n v="1465.75"/>
    <n v="1.5E-3"/>
    <x v="2"/>
    <x v="9"/>
    <n v="10"/>
    <x v="33"/>
    <n v="41"/>
    <x v="686"/>
    <s v="Wed"/>
  </r>
  <r>
    <x v="723"/>
    <n v="1475.835"/>
    <n v="1470.6"/>
    <n v="1476.2249999999999"/>
    <n v="1467.76"/>
    <n v="1.9E-3"/>
    <x v="2"/>
    <x v="9"/>
    <n v="10"/>
    <x v="33"/>
    <n v="41"/>
    <x v="687"/>
    <s v="Thu"/>
  </r>
  <r>
    <x v="724"/>
    <n v="1462.11"/>
    <n v="1475.8150000000001"/>
    <n v="1503.75"/>
    <n v="1457.7650000000001"/>
    <n v="-9.2999999999999992E-3"/>
    <x v="2"/>
    <x v="9"/>
    <n v="10"/>
    <x v="33"/>
    <n v="41"/>
    <x v="688"/>
    <s v="Fri"/>
  </r>
  <r>
    <x v="725"/>
    <n v="1460.1849999999999"/>
    <n v="1459.73"/>
    <n v="1464.5"/>
    <n v="1454.17"/>
    <n v="-1.2999999999999999E-3"/>
    <x v="2"/>
    <x v="9"/>
    <n v="10"/>
    <x v="33"/>
    <n v="42"/>
    <x v="689"/>
    <s v="Mon"/>
  </r>
  <r>
    <x v="726"/>
    <n v="1458.35"/>
    <n v="1459.9649999999999"/>
    <n v="1465.53"/>
    <n v="1454.17"/>
    <n v="-1.2999999999999999E-3"/>
    <x v="2"/>
    <x v="9"/>
    <n v="10"/>
    <x v="33"/>
    <n v="42"/>
    <x v="690"/>
    <s v="Tue"/>
  </r>
  <r>
    <x v="727"/>
    <n v="1468.68"/>
    <n v="1460.63"/>
    <n v="1468.68"/>
    <n v="1456.5"/>
    <n v="7.1000000000000004E-3"/>
    <x v="2"/>
    <x v="9"/>
    <n v="10"/>
    <x v="33"/>
    <n v="42"/>
    <x v="691"/>
    <s v="Wed"/>
  </r>
  <r>
    <x v="728"/>
    <n v="1469.13"/>
    <n v="1468.83"/>
    <n v="1471.085"/>
    <n v="1461.57"/>
    <n v="2.9999999999999997E-4"/>
    <x v="2"/>
    <x v="9"/>
    <n v="10"/>
    <x v="33"/>
    <n v="42"/>
    <x v="692"/>
    <s v="Thu"/>
  </r>
  <r>
    <x v="729"/>
    <n v="1469.4"/>
    <n v="1469.67"/>
    <n v="1475.17"/>
    <n v="1463"/>
    <n v="2.0000000000000001E-4"/>
    <x v="2"/>
    <x v="9"/>
    <n v="10"/>
    <x v="33"/>
    <n v="42"/>
    <x v="693"/>
    <s v="Fri"/>
  </r>
  <r>
    <x v="730"/>
    <n v="1465.77"/>
    <n v="1468.99"/>
    <n v="1475.87"/>
    <n v="1465.0650000000001"/>
    <n v="-2.5000000000000001E-3"/>
    <x v="2"/>
    <x v="9"/>
    <n v="10"/>
    <x v="33"/>
    <n v="43"/>
    <x v="694"/>
    <s v="Mon"/>
  </r>
  <r>
    <x v="731"/>
    <n v="1465.04"/>
    <n v="1466.38"/>
    <n v="1470.925"/>
    <n v="1463.04"/>
    <n v="-5.0000000000000001E-4"/>
    <x v="2"/>
    <x v="9"/>
    <n v="10"/>
    <x v="33"/>
    <n v="43"/>
    <x v="695"/>
    <s v="Tue"/>
  </r>
  <r>
    <x v="732"/>
    <n v="1463.45"/>
    <n v="1465.0450000000001"/>
    <n v="1468.5"/>
    <n v="1462.65"/>
    <n v="-1.1000000000000001E-3"/>
    <x v="2"/>
    <x v="9"/>
    <n v="10"/>
    <x v="33"/>
    <n v="43"/>
    <x v="696"/>
    <s v="Wed"/>
  </r>
  <r>
    <x v="733"/>
    <n v="1463.87"/>
    <n v="1463.69"/>
    <n v="1466.5"/>
    <n v="1458.605"/>
    <n v="2.9999999999999997E-4"/>
    <x v="2"/>
    <x v="9"/>
    <n v="10"/>
    <x v="33"/>
    <n v="43"/>
    <x v="697"/>
    <s v="Thu"/>
  </r>
  <r>
    <x v="734"/>
    <n v="1460.4649999999999"/>
    <n v="1463.86"/>
    <n v="1464.415"/>
    <n v="1457.9949999999999"/>
    <n v="-2.3E-3"/>
    <x v="2"/>
    <x v="9"/>
    <n v="10"/>
    <x v="33"/>
    <n v="43"/>
    <x v="698"/>
    <s v="Fri"/>
  </r>
  <r>
    <x v="735"/>
    <n v="1458.2449999999999"/>
    <n v="1459.78"/>
    <n v="1464.94"/>
    <n v="1454.905"/>
    <n v="-1.5E-3"/>
    <x v="2"/>
    <x v="9"/>
    <n v="10"/>
    <x v="33"/>
    <n v="44"/>
    <x v="699"/>
    <s v="Mon"/>
  </r>
  <r>
    <x v="736"/>
    <n v="1454.98"/>
    <n v="1458.24"/>
    <n v="1460.28"/>
    <n v="1449.97"/>
    <n v="-2.2000000000000001E-3"/>
    <x v="2"/>
    <x v="9"/>
    <n v="10"/>
    <x v="33"/>
    <n v="44"/>
    <x v="700"/>
    <s v="Tue"/>
  </r>
  <r>
    <x v="737"/>
    <n v="1448.73"/>
    <n v="1455.08"/>
    <n v="1456.2049999999999"/>
    <n v="1445.9349999999999"/>
    <n v="-4.3E-3"/>
    <x v="2"/>
    <x v="9"/>
    <n v="10"/>
    <x v="33"/>
    <n v="44"/>
    <x v="701"/>
    <s v="Wed"/>
  </r>
  <r>
    <x v="738"/>
    <n v="1442.29"/>
    <n v="1448.85"/>
    <n v="1459.335"/>
    <n v="1441.45"/>
    <n v="-4.4000000000000003E-3"/>
    <x v="2"/>
    <x v="9"/>
    <n v="10"/>
    <x v="33"/>
    <n v="44"/>
    <x v="702"/>
    <s v="Thu"/>
  </r>
  <r>
    <x v="739"/>
    <n v="1446.81"/>
    <n v="1443.3050000000001"/>
    <n v="1451.97"/>
    <n v="1429.15"/>
    <n v="3.0999999999999999E-3"/>
    <x v="2"/>
    <x v="9"/>
    <n v="10"/>
    <x v="33"/>
    <n v="44"/>
    <x v="703"/>
    <s v="Fri"/>
  </r>
  <r>
    <x v="740"/>
    <n v="1441.41"/>
    <n v="1446.81"/>
    <n v="1454.625"/>
    <n v="1425.1"/>
    <n v="-3.7000000000000002E-3"/>
    <x v="2"/>
    <x v="10"/>
    <n v="11"/>
    <x v="34"/>
    <n v="45"/>
    <x v="704"/>
    <s v="Mon"/>
  </r>
  <r>
    <x v="741"/>
    <n v="1442.04"/>
    <n v="1441.35"/>
    <n v="1442.61"/>
    <n v="1435.19"/>
    <n v="4.0000000000000002E-4"/>
    <x v="2"/>
    <x v="10"/>
    <n v="11"/>
    <x v="34"/>
    <n v="45"/>
    <x v="705"/>
    <s v="Tue"/>
  </r>
  <r>
    <x v="742"/>
    <n v="1441.0150000000001"/>
    <n v="1440.65"/>
    <n v="1443.14"/>
    <n v="1434.94"/>
    <n v="-6.9999999999999999E-4"/>
    <x v="2"/>
    <x v="10"/>
    <n v="11"/>
    <x v="34"/>
    <n v="45"/>
    <x v="706"/>
    <s v="Wed"/>
  </r>
  <r>
    <x v="743"/>
    <n v="1437.825"/>
    <n v="1441.05"/>
    <n v="1443.5650000000001"/>
    <n v="1434.47"/>
    <n v="-2.2000000000000001E-3"/>
    <x v="2"/>
    <x v="10"/>
    <n v="11"/>
    <x v="34"/>
    <n v="45"/>
    <x v="707"/>
    <s v="Thu"/>
  </r>
  <r>
    <x v="744"/>
    <n v="1435.03"/>
    <n v="1435.3"/>
    <n v="1439.2249999999999"/>
    <n v="1433.7"/>
    <n v="-1.9E-3"/>
    <x v="2"/>
    <x v="10"/>
    <n v="11"/>
    <x v="34"/>
    <n v="45"/>
    <x v="708"/>
    <s v="Fri"/>
  </r>
  <r>
    <x v="745"/>
    <n v="1438.4949999999999"/>
    <n v="1435.03"/>
    <n v="1440.8150000000001"/>
    <n v="1433.84"/>
    <n v="2.3999999999999998E-3"/>
    <x v="2"/>
    <x v="10"/>
    <n v="11"/>
    <x v="34"/>
    <n v="46"/>
    <x v="709"/>
    <s v="Mon"/>
  </r>
  <r>
    <x v="746"/>
    <n v="1439.56"/>
    <n v="1438.5"/>
    <n v="1441.0550000000001"/>
    <n v="1434.92"/>
    <n v="6.9999999999999999E-4"/>
    <x v="2"/>
    <x v="10"/>
    <n v="11"/>
    <x v="34"/>
    <n v="46"/>
    <x v="710"/>
    <s v="Tue"/>
  </r>
  <r>
    <x v="747"/>
    <n v="1440.85"/>
    <n v="1435.23"/>
    <n v="1442.82"/>
    <n v="1435.23"/>
    <n v="8.9999999999999998E-4"/>
    <x v="2"/>
    <x v="10"/>
    <n v="11"/>
    <x v="34"/>
    <n v="46"/>
    <x v="711"/>
    <s v="Wed"/>
  </r>
  <r>
    <x v="748"/>
    <n v="1440.665"/>
    <n v="1443.33"/>
    <n v="1445.365"/>
    <n v="1437.37"/>
    <n v="-1E-4"/>
    <x v="2"/>
    <x v="10"/>
    <n v="11"/>
    <x v="34"/>
    <n v="46"/>
    <x v="712"/>
    <s v="Thu"/>
  </r>
  <r>
    <x v="749"/>
    <n v="1441.56"/>
    <n v="1440.645"/>
    <n v="1445.9649999999999"/>
    <n v="1437.37"/>
    <n v="5.9999999999999995E-4"/>
    <x v="2"/>
    <x v="10"/>
    <n v="11"/>
    <x v="34"/>
    <n v="46"/>
    <x v="713"/>
    <s v="Fri"/>
  </r>
  <r>
    <x v="750"/>
    <n v="1445.075"/>
    <n v="1439.82"/>
    <n v="1447.76"/>
    <n v="1439.4749999999999"/>
    <n v="2.3999999999999998E-3"/>
    <x v="2"/>
    <x v="10"/>
    <n v="11"/>
    <x v="34"/>
    <n v="47"/>
    <x v="714"/>
    <s v="Mon"/>
  </r>
  <r>
    <x v="751"/>
    <n v="1449.35"/>
    <n v="1445.105"/>
    <n v="1452.575"/>
    <n v="1442.18"/>
    <n v="3.0000000000000001E-3"/>
    <x v="2"/>
    <x v="10"/>
    <n v="11"/>
    <x v="34"/>
    <n v="47"/>
    <x v="715"/>
    <s v="Tue"/>
  </r>
  <r>
    <x v="752"/>
    <n v="1450.27"/>
    <n v="1448.7149999999999"/>
    <n v="1455"/>
    <n v="1446.5050000000001"/>
    <n v="5.9999999999999995E-4"/>
    <x v="2"/>
    <x v="10"/>
    <n v="11"/>
    <x v="34"/>
    <n v="47"/>
    <x v="716"/>
    <s v="Wed"/>
  </r>
  <r>
    <x v="753"/>
    <n v="1453.49"/>
    <n v="1452.35"/>
    <n v="1459.5"/>
    <n v="1445.5550000000001"/>
    <n v="2.2000000000000001E-3"/>
    <x v="2"/>
    <x v="10"/>
    <n v="11"/>
    <x v="34"/>
    <n v="47"/>
    <x v="717"/>
    <s v="Thu"/>
  </r>
  <r>
    <x v="754"/>
    <n v="1452.345"/>
    <n v="1453.48"/>
    <n v="1457.9549999999999"/>
    <n v="1450.2449999999999"/>
    <n v="-8.0000000000000004E-4"/>
    <x v="2"/>
    <x v="10"/>
    <n v="11"/>
    <x v="34"/>
    <n v="47"/>
    <x v="718"/>
    <s v="Fri"/>
  </r>
  <r>
    <x v="755"/>
    <n v="1455.095"/>
    <n v="1450.77"/>
    <n v="1459.2950000000001"/>
    <n v="1450.77"/>
    <n v="1.9E-3"/>
    <x v="2"/>
    <x v="10"/>
    <n v="11"/>
    <x v="34"/>
    <n v="48"/>
    <x v="719"/>
    <s v="Mon"/>
  </r>
  <r>
    <x v="756"/>
    <n v="1449.43"/>
    <n v="1452.08"/>
    <n v="1458.83"/>
    <n v="1447.2850000000001"/>
    <n v="-3.8999999999999998E-3"/>
    <x v="2"/>
    <x v="10"/>
    <n v="11"/>
    <x v="34"/>
    <n v="48"/>
    <x v="720"/>
    <s v="Tue"/>
  </r>
  <r>
    <x v="757"/>
    <n v="1446.89"/>
    <n v="1449.365"/>
    <n v="1449.5650000000001"/>
    <n v="1440.75"/>
    <n v="-1.8E-3"/>
    <x v="2"/>
    <x v="10"/>
    <n v="11"/>
    <x v="34"/>
    <n v="48"/>
    <x v="721"/>
    <s v="Wed"/>
  </r>
  <r>
    <x v="758"/>
    <n v="1446.3150000000001"/>
    <n v="1446.91"/>
    <n v="1447.905"/>
    <n v="1440.24"/>
    <n v="-4.0000000000000002E-4"/>
    <x v="2"/>
    <x v="10"/>
    <n v="11"/>
    <x v="34"/>
    <n v="48"/>
    <x v="722"/>
    <s v="Thu"/>
  </r>
  <r>
    <x v="759"/>
    <n v="1447.335"/>
    <n v="1446.3150000000001"/>
    <n v="1448.51"/>
    <n v="1442.25"/>
    <n v="6.9999999999999999E-4"/>
    <x v="2"/>
    <x v="10"/>
    <n v="11"/>
    <x v="34"/>
    <n v="48"/>
    <x v="723"/>
    <s v="Fri"/>
  </r>
  <r>
    <x v="760"/>
    <n v="1446.915"/>
    <n v="1443"/>
    <n v="1450.095"/>
    <n v="1439.82"/>
    <n v="-2.9999999999999997E-4"/>
    <x v="2"/>
    <x v="11"/>
    <n v="12"/>
    <x v="35"/>
    <n v="49"/>
    <x v="724"/>
    <s v="Mon"/>
  </r>
  <r>
    <x v="761"/>
    <n v="1446.9849999999999"/>
    <n v="1442.72"/>
    <n v="1449.1849999999999"/>
    <n v="1442.72"/>
    <n v="0"/>
    <x v="2"/>
    <x v="11"/>
    <n v="12"/>
    <x v="35"/>
    <n v="49"/>
    <x v="725"/>
    <s v="Tue"/>
  </r>
  <r>
    <x v="762"/>
    <n v="1447.5150000000001"/>
    <n v="1446.9849999999999"/>
    <n v="1449.105"/>
    <n v="1442.52"/>
    <n v="4.0000000000000002E-4"/>
    <x v="2"/>
    <x v="11"/>
    <n v="12"/>
    <x v="35"/>
    <n v="49"/>
    <x v="726"/>
    <s v="Wed"/>
  </r>
  <r>
    <x v="763"/>
    <n v="1449.23"/>
    <n v="1447.5150000000001"/>
    <n v="1450.2249999999999"/>
    <n v="1443.72"/>
    <n v="1.1999999999999999E-3"/>
    <x v="2"/>
    <x v="11"/>
    <n v="12"/>
    <x v="35"/>
    <n v="49"/>
    <x v="727"/>
    <s v="Thu"/>
  </r>
  <r>
    <x v="764"/>
    <n v="1449.665"/>
    <n v="1449.22"/>
    <n v="1452.08"/>
    <n v="1446.16"/>
    <n v="2.9999999999999997E-4"/>
    <x v="2"/>
    <x v="11"/>
    <n v="12"/>
    <x v="35"/>
    <n v="49"/>
    <x v="728"/>
    <s v="Fri"/>
  </r>
  <r>
    <x v="765"/>
    <n v="1449.39"/>
    <n v="1447.92"/>
    <n v="1454.575"/>
    <n v="1447.92"/>
    <n v="-2.0000000000000001E-4"/>
    <x v="2"/>
    <x v="11"/>
    <n v="12"/>
    <x v="35"/>
    <n v="50"/>
    <x v="729"/>
    <s v="Mon"/>
  </r>
  <r>
    <x v="766"/>
    <n v="1451.51"/>
    <n v="1451.28"/>
    <n v="1455.19"/>
    <n v="1449.2550000000001"/>
    <n v="1.5E-3"/>
    <x v="2"/>
    <x v="11"/>
    <n v="12"/>
    <x v="35"/>
    <n v="50"/>
    <x v="730"/>
    <s v="Tue"/>
  </r>
  <r>
    <x v="767"/>
    <n v="1454.33"/>
    <n v="1451.5"/>
    <n v="1457.23"/>
    <n v="1450.1"/>
    <n v="1.9E-3"/>
    <x v="2"/>
    <x v="11"/>
    <n v="12"/>
    <x v="35"/>
    <n v="50"/>
    <x v="731"/>
    <s v="Wed"/>
  </r>
  <r>
    <x v="768"/>
    <n v="1452.5650000000001"/>
    <n v="1454.33"/>
    <n v="1456.7249999999999"/>
    <n v="1447"/>
    <n v="-1.1999999999999999E-3"/>
    <x v="2"/>
    <x v="11"/>
    <n v="12"/>
    <x v="35"/>
    <n v="50"/>
    <x v="732"/>
    <s v="Thu"/>
  </r>
  <r>
    <x v="769"/>
    <n v="1453.135"/>
    <n v="1452.7950000000001"/>
    <n v="1459"/>
    <n v="1447.79"/>
    <n v="4.0000000000000002E-4"/>
    <x v="2"/>
    <x v="11"/>
    <n v="12"/>
    <x v="35"/>
    <n v="50"/>
    <x v="733"/>
    <s v="Fri"/>
  </r>
  <r>
    <x v="770"/>
    <n v="1451.7"/>
    <n v="1448.68"/>
    <n v="1455.43"/>
    <n v="1448.34"/>
    <n v="-1E-3"/>
    <x v="2"/>
    <x v="11"/>
    <n v="12"/>
    <x v="35"/>
    <n v="51"/>
    <x v="734"/>
    <s v="Mon"/>
  </r>
  <r>
    <x v="771"/>
    <n v="1451.98"/>
    <n v="1450.54"/>
    <n v="1456.66"/>
    <n v="1449.7650000000001"/>
    <n v="2.0000000000000001E-4"/>
    <x v="2"/>
    <x v="11"/>
    <n v="12"/>
    <x v="35"/>
    <n v="51"/>
    <x v="735"/>
    <s v="Tue"/>
  </r>
  <r>
    <x v="772"/>
    <n v="1453.84"/>
    <n v="1453.9649999999999"/>
    <n v="1459.49"/>
    <n v="1451.49"/>
    <n v="1.2999999999999999E-3"/>
    <x v="2"/>
    <x v="11"/>
    <n v="12"/>
    <x v="35"/>
    <n v="51"/>
    <x v="736"/>
    <s v="Wed"/>
  </r>
  <r>
    <x v="773"/>
    <n v="1455.75"/>
    <n v="1455.95"/>
    <n v="1459.89"/>
    <n v="1452.65"/>
    <n v="1.2999999999999999E-3"/>
    <x v="2"/>
    <x v="11"/>
    <n v="12"/>
    <x v="35"/>
    <n v="51"/>
    <x v="737"/>
    <s v="Thu"/>
  </r>
  <r>
    <x v="774"/>
    <n v="1460.5050000000001"/>
    <n v="1455.75"/>
    <n v="1464.5550000000001"/>
    <n v="1455.375"/>
    <n v="3.3E-3"/>
    <x v="2"/>
    <x v="11"/>
    <n v="12"/>
    <x v="35"/>
    <n v="51"/>
    <x v="738"/>
    <s v="Fri"/>
  </r>
  <r>
    <x v="775"/>
    <n v="1457.62"/>
    <n v="1459.5"/>
    <n v="1463.7249999999999"/>
    <n v="1456.57"/>
    <n v="-2E-3"/>
    <x v="2"/>
    <x v="11"/>
    <n v="12"/>
    <x v="35"/>
    <n v="52"/>
    <x v="739"/>
    <s v="Mon"/>
  </r>
  <r>
    <x v="776"/>
    <n v="1461.5050000000001"/>
    <n v="1457.59"/>
    <n v="1461.61"/>
    <n v="1449"/>
    <n v="2.7000000000000001E-3"/>
    <x v="2"/>
    <x v="11"/>
    <n v="12"/>
    <x v="35"/>
    <n v="52"/>
    <x v="740"/>
    <s v="Tue"/>
  </r>
  <r>
    <x v="777"/>
    <n v="1450.13"/>
    <n v="1459.9949999999999"/>
    <n v="1460.39"/>
    <n v="1445.905"/>
    <n v="-7.7999999999999996E-3"/>
    <x v="2"/>
    <x v="11"/>
    <n v="12"/>
    <x v="35"/>
    <n v="52"/>
    <x v="741"/>
    <s v="Wed"/>
  </r>
  <r>
    <x v="778"/>
    <n v="1450.53"/>
    <n v="1446.42"/>
    <n v="1450.89"/>
    <n v="1446.42"/>
    <n v="2.9999999999999997E-4"/>
    <x v="2"/>
    <x v="11"/>
    <n v="12"/>
    <x v="35"/>
    <n v="52"/>
    <x v="742"/>
    <s v="Thu"/>
  </r>
  <r>
    <x v="779"/>
    <n v="1451.62"/>
    <n v="1446.42"/>
    <n v="1452.395"/>
    <n v="1446.42"/>
    <n v="8.0000000000000004E-4"/>
    <x v="2"/>
    <x v="11"/>
    <n v="12"/>
    <x v="35"/>
    <n v="52"/>
    <x v="743"/>
    <s v="Fri"/>
  </r>
  <r>
    <x v="780"/>
    <n v="1453.2850000000001"/>
    <n v="1450.66"/>
    <n v="1453.96"/>
    <n v="1445.345"/>
    <n v="1.1000000000000001E-3"/>
    <x v="2"/>
    <x v="11"/>
    <n v="12"/>
    <x v="35"/>
    <n v="53"/>
    <x v="744"/>
    <s v="Mon"/>
  </r>
  <r>
    <x v="781"/>
    <n v="1454.8150000000001"/>
    <n v="1451"/>
    <n v="1454.8150000000001"/>
    <n v="1442.4849999999999"/>
    <n v="1.1000000000000001E-3"/>
    <x v="2"/>
    <x v="11"/>
    <n v="12"/>
    <x v="35"/>
    <n v="53"/>
    <x v="745"/>
    <s v="Tue"/>
  </r>
  <r>
    <x v="782"/>
    <n v="1444.57"/>
    <n v="1454.83"/>
    <n v="1454.83"/>
    <n v="1440.66"/>
    <n v="-7.0000000000000001E-3"/>
    <x v="2"/>
    <x v="11"/>
    <n v="12"/>
    <x v="35"/>
    <n v="53"/>
    <x v="746"/>
    <s v="Wed"/>
  </r>
  <r>
    <x v="783"/>
    <n v="1446.5"/>
    <n v="1444.575"/>
    <n v="1446.5"/>
    <n v="1441.7"/>
    <n v="1.2999999999999999E-3"/>
    <x v="3"/>
    <x v="0"/>
    <n v="1"/>
    <x v="36"/>
    <n v="1"/>
    <x v="747"/>
    <s v="Thu"/>
  </r>
  <r>
    <x v="784"/>
    <n v="1433.73"/>
    <n v="1441.7"/>
    <n v="1446.5"/>
    <n v="1428.6849999999999"/>
    <n v="-8.8000000000000005E-3"/>
    <x v="3"/>
    <x v="0"/>
    <n v="1"/>
    <x v="36"/>
    <n v="1"/>
    <x v="748"/>
    <s v="Fri"/>
  </r>
  <r>
    <x v="785"/>
    <n v="1433.54"/>
    <n v="1436"/>
    <n v="1446.375"/>
    <n v="1430.375"/>
    <n v="-1E-4"/>
    <x v="3"/>
    <x v="0"/>
    <n v="1"/>
    <x v="36"/>
    <n v="2"/>
    <x v="749"/>
    <s v="Mon"/>
  </r>
  <r>
    <x v="786"/>
    <n v="1424.415"/>
    <n v="1433.57"/>
    <n v="1435.5450000000001"/>
    <n v="1423.3150000000001"/>
    <n v="-6.4000000000000003E-3"/>
    <x v="3"/>
    <x v="0"/>
    <n v="1"/>
    <x v="36"/>
    <n v="2"/>
    <x v="750"/>
    <s v="Tue"/>
  </r>
  <r>
    <x v="787"/>
    <n v="1422.41"/>
    <n v="1424.36"/>
    <n v="1431.5"/>
    <n v="1412.5250000000001"/>
    <n v="-1.4E-3"/>
    <x v="3"/>
    <x v="0"/>
    <n v="1"/>
    <x v="36"/>
    <n v="2"/>
    <x v="751"/>
    <s v="Wed"/>
  </r>
  <r>
    <x v="788"/>
    <n v="1424.175"/>
    <n v="1422.655"/>
    <n v="1427"/>
    <n v="1418.75"/>
    <n v="1.1999999999999999E-3"/>
    <x v="3"/>
    <x v="0"/>
    <n v="1"/>
    <x v="36"/>
    <n v="2"/>
    <x v="752"/>
    <s v="Thu"/>
  </r>
  <r>
    <x v="789"/>
    <n v="1428.87"/>
    <n v="1424.2049999999999"/>
    <n v="1429.655"/>
    <n v="1418.895"/>
    <n v="3.3E-3"/>
    <x v="3"/>
    <x v="0"/>
    <n v="1"/>
    <x v="36"/>
    <n v="2"/>
    <x v="753"/>
    <s v="Fri"/>
  </r>
  <r>
    <x v="790"/>
    <n v="1424.0650000000001"/>
    <n v="1420.66"/>
    <n v="1428.08"/>
    <n v="1419.73"/>
    <n v="-3.3999999999999998E-3"/>
    <x v="3"/>
    <x v="0"/>
    <n v="1"/>
    <x v="36"/>
    <n v="3"/>
    <x v="754"/>
    <s v="Mon"/>
  </r>
  <r>
    <x v="791"/>
    <n v="1421.9849999999999"/>
    <n v="1424.075"/>
    <n v="1425.635"/>
    <n v="1419.05"/>
    <n v="-1.5E-3"/>
    <x v="3"/>
    <x v="0"/>
    <n v="1"/>
    <x v="36"/>
    <n v="3"/>
    <x v="755"/>
    <s v="Tue"/>
  </r>
  <r>
    <x v="792"/>
    <n v="1421.7349999999999"/>
    <n v="1421.9949999999999"/>
    <n v="1426.5"/>
    <n v="1418.11"/>
    <n v="-2.0000000000000001E-4"/>
    <x v="3"/>
    <x v="0"/>
    <n v="1"/>
    <x v="36"/>
    <n v="3"/>
    <x v="756"/>
    <s v="Wed"/>
  </r>
  <r>
    <x v="793"/>
    <n v="1422.27"/>
    <n v="1418.92"/>
    <n v="1425.01"/>
    <n v="1415.7049999999999"/>
    <n v="4.0000000000000002E-4"/>
    <x v="3"/>
    <x v="0"/>
    <n v="1"/>
    <x v="36"/>
    <n v="3"/>
    <x v="757"/>
    <s v="Thu"/>
  </r>
  <r>
    <x v="794"/>
    <n v="1417.16"/>
    <n v="1422.2950000000001"/>
    <n v="1424.5"/>
    <n v="1416.56"/>
    <n v="-3.5999999999999999E-3"/>
    <x v="3"/>
    <x v="0"/>
    <n v="1"/>
    <x v="36"/>
    <n v="3"/>
    <x v="758"/>
    <s v="Fri"/>
  </r>
  <r>
    <x v="795"/>
    <n v="1419.415"/>
    <n v="1420"/>
    <n v="1423.43"/>
    <n v="1415.79"/>
    <n v="1.6000000000000001E-3"/>
    <x v="3"/>
    <x v="0"/>
    <n v="1"/>
    <x v="36"/>
    <n v="4"/>
    <x v="759"/>
    <s v="Mon"/>
  </r>
  <r>
    <x v="796"/>
    <n v="1418.655"/>
    <n v="1417.1"/>
    <n v="1422.61"/>
    <n v="1415.845"/>
    <n v="-5.0000000000000001E-4"/>
    <x v="3"/>
    <x v="0"/>
    <n v="1"/>
    <x v="36"/>
    <n v="4"/>
    <x v="760"/>
    <s v="Tue"/>
  </r>
  <r>
    <x v="797"/>
    <n v="1420.22"/>
    <n v="1416.49"/>
    <n v="1422.9449999999999"/>
    <n v="1416.11"/>
    <n v="1.1000000000000001E-3"/>
    <x v="3"/>
    <x v="0"/>
    <n v="1"/>
    <x v="36"/>
    <n v="4"/>
    <x v="761"/>
    <s v="Wed"/>
  </r>
  <r>
    <x v="798"/>
    <n v="1421.57"/>
    <n v="1420.2449999999999"/>
    <n v="1423.62"/>
    <n v="1418.66"/>
    <n v="1E-3"/>
    <x v="3"/>
    <x v="0"/>
    <n v="1"/>
    <x v="36"/>
    <n v="4"/>
    <x v="762"/>
    <s v="Thu"/>
  </r>
  <r>
    <x v="799"/>
    <n v="1420.7449999999999"/>
    <n v="1419.76"/>
    <n v="1423.77"/>
    <n v="1418.2049999999999"/>
    <n v="-5.9999999999999995E-4"/>
    <x v="3"/>
    <x v="0"/>
    <n v="1"/>
    <x v="36"/>
    <n v="4"/>
    <x v="763"/>
    <s v="Fri"/>
  </r>
  <r>
    <x v="800"/>
    <n v="1416.875"/>
    <n v="1421.4849999999999"/>
    <n v="1422.95"/>
    <n v="1408.5"/>
    <n v="-2.7000000000000001E-3"/>
    <x v="3"/>
    <x v="0"/>
    <n v="1"/>
    <x v="36"/>
    <n v="5"/>
    <x v="764"/>
    <s v="Mon"/>
  </r>
  <r>
    <x v="801"/>
    <n v="1407.76"/>
    <n v="1416.915"/>
    <n v="1418.855"/>
    <n v="1405.4949999999999"/>
    <n v="-6.4000000000000003E-3"/>
    <x v="3"/>
    <x v="0"/>
    <n v="1"/>
    <x v="36"/>
    <n v="5"/>
    <x v="765"/>
    <s v="Tue"/>
  </r>
  <r>
    <x v="802"/>
    <n v="1394.77"/>
    <n v="1407.67"/>
    <n v="1409.865"/>
    <n v="1392.4949999999999"/>
    <n v="-9.1999999999999998E-3"/>
    <x v="3"/>
    <x v="0"/>
    <n v="1"/>
    <x v="36"/>
    <n v="5"/>
    <x v="766"/>
    <s v="Wed"/>
  </r>
  <r>
    <x v="803"/>
    <n v="1385.5"/>
    <n v="1393.23"/>
    <n v="1396.9649999999999"/>
    <n v="1375.645"/>
    <n v="-6.6E-3"/>
    <x v="3"/>
    <x v="0"/>
    <n v="1"/>
    <x v="36"/>
    <n v="5"/>
    <x v="767"/>
    <s v="Thu"/>
  </r>
  <r>
    <x v="804"/>
    <n v="1386.4549999999999"/>
    <n v="1385.96"/>
    <n v="1392.08"/>
    <n v="1382.2850000000001"/>
    <n v="6.9999999999999999E-4"/>
    <x v="3"/>
    <x v="0"/>
    <n v="1"/>
    <x v="36"/>
    <n v="5"/>
    <x v="768"/>
    <s v="Fr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0:B25" firstHeaderRow="1" firstDataRow="1" firstDataCol="1"/>
  <pivotFields count="15">
    <pivotField numFmtId="165" showAll="0"/>
    <pivotField dataField="1" numFmtId="2" showAll="0"/>
    <pivotField numFmtId="2" showAll="0"/>
    <pivotField numFmtId="2" showAll="0"/>
    <pivotField numFmtId="2" showAll="0"/>
    <pivotField showAll="0"/>
    <pivotField numFmtId="2" showAll="0">
      <items count="5">
        <item x="0"/>
        <item x="1"/>
        <item x="2"/>
        <item x="3"/>
        <item t="default"/>
      </items>
    </pivotField>
    <pivotField showAll="0">
      <items count="13">
        <item x="0"/>
        <item h="1" x="1"/>
        <item x="2"/>
        <item x="3"/>
        <item x="4"/>
        <item x="5"/>
        <item x="6"/>
        <item x="7"/>
        <item x="8"/>
        <item x="9"/>
        <item x="10"/>
        <item x="11"/>
        <item t="default"/>
      </items>
    </pivotField>
    <pivotField numFmtId="2" showAll="0"/>
    <pivotField showAll="0"/>
    <pivotField numFmtId="2" showAll="0"/>
    <pivotField showAll="0"/>
    <pivotField showAll="0"/>
    <pivotField showAll="0" defaultSubtotal="0"/>
    <pivotField axis="axisRow" showAll="0" defaultSubtotal="0">
      <items count="6">
        <item x="0"/>
        <item x="1"/>
        <item x="2"/>
        <item x="3"/>
        <item x="4"/>
        <item x="5"/>
      </items>
    </pivotField>
  </pivotFields>
  <rowFields count="1">
    <field x="14"/>
  </rowFields>
  <rowItems count="5">
    <i>
      <x v="1"/>
    </i>
    <i>
      <x v="2"/>
    </i>
    <i>
      <x v="3"/>
    </i>
    <i>
      <x v="4"/>
    </i>
    <i t="grand">
      <x/>
    </i>
  </rowItems>
  <colItems count="1">
    <i/>
  </colItems>
  <dataFields count="1">
    <dataField name="Max of Rate" fld="1" subtotal="max" baseField="1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N2:O7" firstHeaderRow="1" firstDataRow="1" firstDataCol="1"/>
  <pivotFields count="15">
    <pivotField axis="axisRow" numFmtId="165" showAll="0">
      <items count="15">
        <item x="0"/>
        <item x="1"/>
        <item x="2"/>
        <item x="3"/>
        <item x="4"/>
        <item x="5"/>
        <item x="6"/>
        <item x="7"/>
        <item x="8"/>
        <item x="9"/>
        <item x="10"/>
        <item x="11"/>
        <item x="12"/>
        <item x="13"/>
        <item t="default"/>
      </items>
    </pivotField>
    <pivotField numFmtId="2" showAll="0"/>
    <pivotField numFmtId="2" showAll="0"/>
    <pivotField numFmtId="2" showAll="0"/>
    <pivotField numFmtId="2" showAll="0"/>
    <pivotField dataField="1" showAll="0"/>
    <pivotField numFmtId="2" showAll="0">
      <items count="5">
        <item x="0"/>
        <item x="1"/>
        <item x="2"/>
        <item x="3"/>
        <item t="default"/>
      </items>
    </pivotField>
    <pivotField showAll="0">
      <items count="13">
        <item x="0"/>
        <item h="1" x="1"/>
        <item x="2"/>
        <item x="3"/>
        <item x="4"/>
        <item x="5"/>
        <item x="6"/>
        <item x="7"/>
        <item x="8"/>
        <item x="9"/>
        <item x="10"/>
        <item x="11"/>
        <item t="default"/>
      </items>
    </pivotField>
    <pivotField numFmtId="2" showAll="0"/>
    <pivotField showAll="0"/>
    <pivotField numFmtId="2" showAll="0"/>
    <pivotField showAll="0"/>
    <pivotField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14"/>
    <field x="13"/>
    <field x="0"/>
  </rowFields>
  <rowItems count="5">
    <i>
      <x v="1"/>
    </i>
    <i>
      <x v="2"/>
    </i>
    <i>
      <x v="3"/>
    </i>
    <i>
      <x v="4"/>
    </i>
    <i t="grand">
      <x/>
    </i>
  </rowItems>
  <colItems count="1">
    <i/>
  </colItems>
  <dataFields count="1">
    <dataField name="Average of Change %" fld="5" subtotal="average" baseField="14" baseItem="1"/>
  </dataFields>
  <formats count="4">
    <format dxfId="23">
      <pivotArea collapsedLevelsAreSubtotals="1" fieldPosition="0">
        <references count="1">
          <reference field="14" count="1">
            <x v="1"/>
          </reference>
        </references>
      </pivotArea>
    </format>
    <format dxfId="22">
      <pivotArea collapsedLevelsAreSubtotals="1" fieldPosition="0">
        <references count="1">
          <reference field="14" count="1">
            <x v="1"/>
          </reference>
        </references>
      </pivotArea>
    </format>
    <format dxfId="21">
      <pivotArea collapsedLevelsAreSubtotals="1" fieldPosition="0">
        <references count="1">
          <reference field="14" count="1">
            <x v="1"/>
          </reference>
        </references>
      </pivotArea>
    </format>
    <format dxfId="20">
      <pivotArea collapsedLevelsAreSubtotals="1" fieldPosition="0">
        <references count="1">
          <reference field="14" count="1">
            <x v="1"/>
          </reference>
        </references>
      </pivotArea>
    </format>
  </formats>
  <chartFormats count="5">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14" count="1" selected="0">
            <x v="1"/>
          </reference>
        </references>
      </pivotArea>
    </chartFormat>
    <chartFormat chart="25" format="16">
      <pivotArea type="data" outline="0" fieldPosition="0">
        <references count="2">
          <reference field="4294967294" count="1" selected="0">
            <x v="0"/>
          </reference>
          <reference field="14" count="1" selected="0">
            <x v="2"/>
          </reference>
        </references>
      </pivotArea>
    </chartFormat>
    <chartFormat chart="25" format="17">
      <pivotArea type="data" outline="0" fieldPosition="0">
        <references count="2">
          <reference field="4294967294" count="1" selected="0">
            <x v="0"/>
          </reference>
          <reference field="14" count="1" selected="0">
            <x v="3"/>
          </reference>
        </references>
      </pivotArea>
    </chartFormat>
    <chartFormat chart="25" format="18">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K2:L37" firstHeaderRow="1" firstDataRow="1" firstDataCol="1"/>
  <pivotFields count="15">
    <pivotField numFmtId="165" showAll="0">
      <items count="15">
        <item x="0"/>
        <item x="1"/>
        <item x="2"/>
        <item x="3"/>
        <item x="4"/>
        <item x="5"/>
        <item x="6"/>
        <item x="7"/>
        <item x="8"/>
        <item x="9"/>
        <item x="10"/>
        <item x="11"/>
        <item x="12"/>
        <item x="13"/>
        <item t="default"/>
      </items>
    </pivotField>
    <pivotField dataField="1" numFmtId="2" showAll="0"/>
    <pivotField numFmtId="2" showAll="0"/>
    <pivotField numFmtId="2" showAll="0"/>
    <pivotField numFmtId="2" showAll="0"/>
    <pivotField showAll="0"/>
    <pivotField numFmtId="2" showAll="0">
      <items count="5">
        <item x="0"/>
        <item x="1"/>
        <item x="2"/>
        <item x="3"/>
        <item t="default"/>
      </items>
    </pivotField>
    <pivotField showAll="0">
      <items count="13">
        <item x="0"/>
        <item h="1" x="1"/>
        <item x="2"/>
        <item x="3"/>
        <item x="4"/>
        <item x="5"/>
        <item x="6"/>
        <item x="7"/>
        <item x="8"/>
        <item x="9"/>
        <item x="10"/>
        <item x="11"/>
        <item t="default"/>
      </items>
    </pivotField>
    <pivotField numFmtId="2"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umFmtId="2" showAll="0"/>
    <pivotField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9"/>
  </rowFields>
  <rowItems count="35">
    <i>
      <x/>
    </i>
    <i>
      <x v="2"/>
    </i>
    <i>
      <x v="3"/>
    </i>
    <i>
      <x v="4"/>
    </i>
    <i>
      <x v="5"/>
    </i>
    <i>
      <x v="6"/>
    </i>
    <i>
      <x v="7"/>
    </i>
    <i>
      <x v="8"/>
    </i>
    <i>
      <x v="9"/>
    </i>
    <i>
      <x v="10"/>
    </i>
    <i>
      <x v="11"/>
    </i>
    <i>
      <x v="12"/>
    </i>
    <i>
      <x v="14"/>
    </i>
    <i>
      <x v="15"/>
    </i>
    <i>
      <x v="16"/>
    </i>
    <i>
      <x v="17"/>
    </i>
    <i>
      <x v="18"/>
    </i>
    <i>
      <x v="19"/>
    </i>
    <i>
      <x v="20"/>
    </i>
    <i>
      <x v="21"/>
    </i>
    <i>
      <x v="22"/>
    </i>
    <i>
      <x v="23"/>
    </i>
    <i>
      <x v="24"/>
    </i>
    <i>
      <x v="26"/>
    </i>
    <i>
      <x v="27"/>
    </i>
    <i>
      <x v="28"/>
    </i>
    <i>
      <x v="29"/>
    </i>
    <i>
      <x v="30"/>
    </i>
    <i>
      <x v="31"/>
    </i>
    <i>
      <x v="32"/>
    </i>
    <i>
      <x v="33"/>
    </i>
    <i>
      <x v="34"/>
    </i>
    <i>
      <x v="35"/>
    </i>
    <i>
      <x v="36"/>
    </i>
    <i t="grand">
      <x/>
    </i>
  </rowItems>
  <colItems count="1">
    <i/>
  </colItems>
  <dataFields count="1">
    <dataField name="StdDev of Rate" fld="1" subtotal="stdDev"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2:I37" firstHeaderRow="0" firstDataRow="1" firstDataCol="1"/>
  <pivotFields count="15">
    <pivotField numFmtId="165" showAll="0">
      <items count="15">
        <item x="0"/>
        <item x="1"/>
        <item x="2"/>
        <item x="3"/>
        <item x="4"/>
        <item x="5"/>
        <item x="6"/>
        <item x="7"/>
        <item x="8"/>
        <item x="9"/>
        <item x="10"/>
        <item x="11"/>
        <item x="12"/>
        <item x="13"/>
        <item t="default"/>
      </items>
    </pivotField>
    <pivotField numFmtId="2" showAll="0"/>
    <pivotField numFmtId="2" showAll="0"/>
    <pivotField dataField="1" numFmtId="2" showAll="0"/>
    <pivotField dataField="1" numFmtId="2" showAll="0"/>
    <pivotField showAll="0"/>
    <pivotField numFmtId="2" showAll="0">
      <items count="5">
        <item x="0"/>
        <item x="1"/>
        <item x="2"/>
        <item x="3"/>
        <item t="default"/>
      </items>
    </pivotField>
    <pivotField showAll="0">
      <items count="13">
        <item x="0"/>
        <item h="1" x="1"/>
        <item x="2"/>
        <item x="3"/>
        <item x="4"/>
        <item x="5"/>
        <item x="6"/>
        <item x="7"/>
        <item x="8"/>
        <item x="9"/>
        <item x="10"/>
        <item x="11"/>
        <item t="default"/>
      </items>
    </pivotField>
    <pivotField numFmtId="2"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umFmtId="2" showAll="0"/>
    <pivotField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9"/>
  </rowFields>
  <rowItems count="35">
    <i>
      <x/>
    </i>
    <i>
      <x v="2"/>
    </i>
    <i>
      <x v="3"/>
    </i>
    <i>
      <x v="4"/>
    </i>
    <i>
      <x v="5"/>
    </i>
    <i>
      <x v="6"/>
    </i>
    <i>
      <x v="7"/>
    </i>
    <i>
      <x v="8"/>
    </i>
    <i>
      <x v="9"/>
    </i>
    <i>
      <x v="10"/>
    </i>
    <i>
      <x v="11"/>
    </i>
    <i>
      <x v="12"/>
    </i>
    <i>
      <x v="14"/>
    </i>
    <i>
      <x v="15"/>
    </i>
    <i>
      <x v="16"/>
    </i>
    <i>
      <x v="17"/>
    </i>
    <i>
      <x v="18"/>
    </i>
    <i>
      <x v="19"/>
    </i>
    <i>
      <x v="20"/>
    </i>
    <i>
      <x v="21"/>
    </i>
    <i>
      <x v="22"/>
    </i>
    <i>
      <x v="23"/>
    </i>
    <i>
      <x v="24"/>
    </i>
    <i>
      <x v="26"/>
    </i>
    <i>
      <x v="27"/>
    </i>
    <i>
      <x v="28"/>
    </i>
    <i>
      <x v="29"/>
    </i>
    <i>
      <x v="30"/>
    </i>
    <i>
      <x v="31"/>
    </i>
    <i>
      <x v="32"/>
    </i>
    <i>
      <x v="33"/>
    </i>
    <i>
      <x v="34"/>
    </i>
    <i>
      <x v="35"/>
    </i>
    <i>
      <x v="36"/>
    </i>
    <i t="grand">
      <x/>
    </i>
  </rowItems>
  <colFields count="1">
    <field x="-2"/>
  </colFields>
  <colItems count="2">
    <i>
      <x/>
    </i>
    <i i="1">
      <x v="1"/>
    </i>
  </colItems>
  <dataFields count="2">
    <dataField name="Max of High" fld="3" subtotal="max" baseField="9" baseItem="0"/>
    <dataField name="Min of Low" fld="4" subtotal="min" baseField="9" baseItem="0"/>
  </dataFields>
  <chartFormats count="2">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D2:E7" firstHeaderRow="1" firstDataRow="1" firstDataCol="1"/>
  <pivotFields count="15">
    <pivotField numFmtId="165" showAll="0">
      <items count="15">
        <item x="0"/>
        <item x="1"/>
        <item x="2"/>
        <item x="3"/>
        <item x="4"/>
        <item x="5"/>
        <item x="6"/>
        <item x="7"/>
        <item x="8"/>
        <item x="9"/>
        <item x="10"/>
        <item x="11"/>
        <item x="12"/>
        <item x="13"/>
        <item t="default"/>
      </items>
    </pivotField>
    <pivotField dataField="1" numFmtId="2" showAll="0"/>
    <pivotField numFmtId="2" showAll="0"/>
    <pivotField numFmtId="2" showAll="0"/>
    <pivotField numFmtId="2" showAll="0"/>
    <pivotField showAll="0"/>
    <pivotField axis="axisRow" numFmtId="2" showAll="0">
      <items count="5">
        <item x="0"/>
        <item x="1"/>
        <item x="2"/>
        <item x="3"/>
        <item t="default"/>
      </items>
    </pivotField>
    <pivotField showAll="0">
      <items count="13">
        <item x="0"/>
        <item h="1" x="1"/>
        <item x="2"/>
        <item x="3"/>
        <item x="4"/>
        <item x="5"/>
        <item x="6"/>
        <item x="7"/>
        <item x="8"/>
        <item x="9"/>
        <item x="10"/>
        <item x="11"/>
        <item t="default"/>
      </items>
    </pivotField>
    <pivotField numFmtId="2" showAll="0"/>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umFmtId="2" showAll="0"/>
    <pivotField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6"/>
  </rowFields>
  <rowItems count="5">
    <i>
      <x/>
    </i>
    <i>
      <x v="1"/>
    </i>
    <i>
      <x v="2"/>
    </i>
    <i>
      <x v="3"/>
    </i>
    <i t="grand">
      <x/>
    </i>
  </rowItems>
  <colItems count="1">
    <i/>
  </colItems>
  <dataFields count="1">
    <dataField name="Average of Rate" fld="1" subtotal="average" baseField="9" baseItem="0"/>
  </dataField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4:B39" firstHeaderRow="1" firstDataRow="1" firstDataCol="1"/>
  <pivotFields count="15">
    <pivotField numFmtId="165" showAll="0"/>
    <pivotField dataField="1" numFmtId="2" showAll="0"/>
    <pivotField numFmtId="2" showAll="0"/>
    <pivotField numFmtId="2" showAll="0"/>
    <pivotField numFmtId="2" showAll="0"/>
    <pivotField showAll="0"/>
    <pivotField numFmtId="2" showAll="0">
      <items count="5">
        <item x="0"/>
        <item x="1"/>
        <item x="2"/>
        <item x="3"/>
        <item t="default"/>
      </items>
    </pivotField>
    <pivotField showAll="0">
      <items count="13">
        <item x="0"/>
        <item h="1" x="1"/>
        <item x="2"/>
        <item x="3"/>
        <item x="4"/>
        <item x="5"/>
        <item x="6"/>
        <item x="7"/>
        <item x="8"/>
        <item x="9"/>
        <item x="10"/>
        <item x="11"/>
        <item t="default"/>
      </items>
    </pivotField>
    <pivotField numFmtId="2" showAll="0"/>
    <pivotField showAll="0"/>
    <pivotField numFmtId="2" showAll="0"/>
    <pivotField showAll="0"/>
    <pivotField showAll="0"/>
    <pivotField showAll="0" defaultSubtotal="0"/>
    <pivotField axis="axisRow" showAll="0" defaultSubtotal="0">
      <items count="6">
        <item x="0"/>
        <item x="1"/>
        <item x="2"/>
        <item x="3"/>
        <item x="4"/>
        <item x="5"/>
      </items>
    </pivotField>
  </pivotFields>
  <rowFields count="1">
    <field x="14"/>
  </rowFields>
  <rowItems count="5">
    <i>
      <x v="1"/>
    </i>
    <i>
      <x v="2"/>
    </i>
    <i>
      <x v="3"/>
    </i>
    <i>
      <x v="4"/>
    </i>
    <i t="grand">
      <x/>
    </i>
  </rowItems>
  <colItems count="1">
    <i/>
  </colItems>
  <dataFields count="1">
    <dataField name="Count of Rate" fld="1" subtotal="count" baseField="1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4:E29" firstHeaderRow="1" firstDataRow="1" firstDataCol="1"/>
  <pivotFields count="15">
    <pivotField numFmtId="165" showAll="0"/>
    <pivotField dataField="1" numFmtId="2" showAll="0"/>
    <pivotField numFmtId="2" showAll="0"/>
    <pivotField numFmtId="2" showAll="0"/>
    <pivotField numFmtId="2" showAll="0"/>
    <pivotField showAll="0"/>
    <pivotField numFmtId="2" showAll="0">
      <items count="5">
        <item x="0"/>
        <item x="1"/>
        <item x="2"/>
        <item x="3"/>
        <item t="default"/>
      </items>
    </pivotField>
    <pivotField showAll="0">
      <items count="13">
        <item x="0"/>
        <item h="1" x="1"/>
        <item x="2"/>
        <item x="3"/>
        <item x="4"/>
        <item x="5"/>
        <item x="6"/>
        <item x="7"/>
        <item x="8"/>
        <item x="9"/>
        <item x="10"/>
        <item x="11"/>
        <item t="default"/>
      </items>
    </pivotField>
    <pivotField numFmtId="2" showAll="0"/>
    <pivotField showAll="0"/>
    <pivotField numFmtId="2" showAll="0"/>
    <pivotField showAll="0"/>
    <pivotField showAll="0"/>
    <pivotField showAll="0" defaultSubtotal="0"/>
    <pivotField axis="axisRow" showAll="0" defaultSubtotal="0">
      <items count="6">
        <item x="0"/>
        <item x="1"/>
        <item x="2"/>
        <item x="3"/>
        <item x="4"/>
        <item x="5"/>
      </items>
    </pivotField>
  </pivotFields>
  <rowFields count="1">
    <field x="14"/>
  </rowFields>
  <rowItems count="5">
    <i>
      <x v="1"/>
    </i>
    <i>
      <x v="2"/>
    </i>
    <i>
      <x v="3"/>
    </i>
    <i>
      <x v="4"/>
    </i>
    <i t="grand">
      <x/>
    </i>
  </rowItems>
  <colItems count="1">
    <i/>
  </colItems>
  <dataFields count="1">
    <dataField name="Min of Rate" fld="1" subtotal="min" baseField="1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B12:E17" firstHeaderRow="0" firstDataRow="1" firstDataCol="1"/>
  <pivotFields count="15">
    <pivotField axis="axisRow" numFmtId="165" showAll="0">
      <items count="15">
        <item x="0"/>
        <item x="1"/>
        <item x="2"/>
        <item x="3"/>
        <item x="4"/>
        <item x="5"/>
        <item x="6"/>
        <item x="7"/>
        <item x="8"/>
        <item x="9"/>
        <item x="10"/>
        <item x="11"/>
        <item x="12"/>
        <item x="13"/>
        <item t="default"/>
      </items>
    </pivotField>
    <pivotField numFmtId="2" showAll="0"/>
    <pivotField numFmtId="2" showAll="0"/>
    <pivotField dataField="1" numFmtId="2" showAll="0"/>
    <pivotField dataField="1" numFmtId="2" showAll="0"/>
    <pivotField showAll="0"/>
    <pivotField numFmtId="2" showAll="0">
      <items count="5">
        <item x="0"/>
        <item x="1"/>
        <item x="2"/>
        <item x="3"/>
        <item t="default"/>
      </items>
    </pivotField>
    <pivotField showAll="0">
      <items count="13">
        <item x="0"/>
        <item h="1" x="1"/>
        <item x="2"/>
        <item x="3"/>
        <item x="4"/>
        <item x="5"/>
        <item x="6"/>
        <item x="7"/>
        <item x="8"/>
        <item x="9"/>
        <item x="10"/>
        <item x="11"/>
        <item t="default"/>
      </items>
    </pivotField>
    <pivotField numFmtId="2" showAll="0"/>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umFmtId="2" showAll="0"/>
    <pivotField axis="axisRow" dataField="1" showAll="0">
      <items count="770">
        <item x="1"/>
        <item x="2"/>
        <item x="3"/>
        <item x="4"/>
        <item x="5"/>
        <item x="6"/>
        <item x="7"/>
        <item x="8"/>
        <item x="9"/>
        <item x="10"/>
        <item x="11"/>
        <item x="12"/>
        <item x="13"/>
        <item x="14"/>
        <item x="15"/>
        <item x="16"/>
        <item x="17"/>
        <item x="26"/>
        <item x="25"/>
        <item x="18"/>
        <item x="63"/>
        <item x="62"/>
        <item x="60"/>
        <item x="61"/>
        <item x="59"/>
        <item x="58"/>
        <item x="27"/>
        <item x="21"/>
        <item x="19"/>
        <item x="28"/>
        <item x="64"/>
        <item x="24"/>
        <item x="22"/>
        <item x="23"/>
        <item x="65"/>
        <item x="78"/>
        <item x="29"/>
        <item x="77"/>
        <item x="57"/>
        <item x="30"/>
        <item x="76"/>
        <item x="56"/>
        <item x="79"/>
        <item x="66"/>
        <item x="55"/>
        <item x="75"/>
        <item x="54"/>
        <item x="53"/>
        <item x="67"/>
        <item x="20"/>
        <item x="52"/>
        <item x="80"/>
        <item x="74"/>
        <item x="51"/>
        <item x="39"/>
        <item x="37"/>
        <item x="38"/>
        <item x="40"/>
        <item x="41"/>
        <item x="42"/>
        <item x="36"/>
        <item x="81"/>
        <item x="43"/>
        <item x="35"/>
        <item x="73"/>
        <item x="68"/>
        <item x="50"/>
        <item x="44"/>
        <item x="45"/>
        <item x="34"/>
        <item x="69"/>
        <item x="46"/>
        <item x="49"/>
        <item x="70"/>
        <item x="72"/>
        <item x="48"/>
        <item x="47"/>
        <item x="33"/>
        <item x="71"/>
        <item x="82"/>
        <item x="32"/>
        <item x="31"/>
        <item x="83"/>
        <item x="84"/>
        <item x="85"/>
        <item x="86"/>
        <item x="87"/>
        <item x="88"/>
        <item x="91"/>
        <item x="89"/>
        <item x="90"/>
        <item x="92"/>
        <item x="93"/>
        <item x="94"/>
        <item x="95"/>
        <item x="96"/>
        <item x="97"/>
        <item x="98"/>
        <item x="99"/>
        <item x="100"/>
        <item x="101"/>
        <item x="102"/>
        <item x="103"/>
        <item x="104"/>
        <item x="105"/>
        <item x="106"/>
        <item x="107"/>
        <item x="108"/>
        <item x="109"/>
        <item x="110"/>
        <item x="111"/>
        <item x="112"/>
        <item x="113"/>
        <item x="114"/>
        <item x="154"/>
        <item x="115"/>
        <item x="155"/>
        <item x="153"/>
        <item x="116"/>
        <item x="152"/>
        <item x="151"/>
        <item x="186"/>
        <item x="187"/>
        <item x="156"/>
        <item x="150"/>
        <item x="185"/>
        <item x="165"/>
        <item x="184"/>
        <item x="146"/>
        <item x="117"/>
        <item x="171"/>
        <item x="167"/>
        <item x="162"/>
        <item x="145"/>
        <item x="141"/>
        <item x="190"/>
        <item x="118"/>
        <item x="166"/>
        <item x="188"/>
        <item x="170"/>
        <item x="189"/>
        <item x="142"/>
        <item x="149"/>
        <item x="163"/>
        <item x="144"/>
        <item x="183"/>
        <item x="140"/>
        <item x="157"/>
        <item x="168"/>
        <item x="191"/>
        <item x="182"/>
        <item x="192"/>
        <item x="161"/>
        <item x="119"/>
        <item x="143"/>
        <item x="173"/>
        <item x="158"/>
        <item x="172"/>
        <item x="164"/>
        <item x="159"/>
        <item x="147"/>
        <item x="160"/>
        <item x="169"/>
        <item x="148"/>
        <item x="181"/>
        <item x="139"/>
        <item x="175"/>
        <item x="174"/>
        <item x="176"/>
        <item x="120"/>
        <item x="138"/>
        <item x="180"/>
        <item x="179"/>
        <item x="177"/>
        <item x="178"/>
        <item x="137"/>
        <item x="121"/>
        <item x="122"/>
        <item x="123"/>
        <item x="136"/>
        <item x="124"/>
        <item x="125"/>
        <item x="127"/>
        <item x="135"/>
        <item x="126"/>
        <item x="129"/>
        <item x="128"/>
        <item x="193"/>
        <item x="130"/>
        <item x="134"/>
        <item x="133"/>
        <item x="131"/>
        <item x="132"/>
        <item x="202"/>
        <item x="205"/>
        <item x="201"/>
        <item x="204"/>
        <item x="203"/>
        <item x="233"/>
        <item x="206"/>
        <item x="225"/>
        <item x="226"/>
        <item x="224"/>
        <item x="232"/>
        <item x="223"/>
        <item x="228"/>
        <item x="207"/>
        <item x="227"/>
        <item x="231"/>
        <item x="194"/>
        <item x="229"/>
        <item x="222"/>
        <item x="208"/>
        <item x="230"/>
        <item x="209"/>
        <item x="195"/>
        <item x="221"/>
        <item x="234"/>
        <item x="196"/>
        <item x="220"/>
        <item x="200"/>
        <item x="210"/>
        <item x="197"/>
        <item x="211"/>
        <item x="219"/>
        <item x="198"/>
        <item x="199"/>
        <item x="218"/>
        <item x="235"/>
        <item x="212"/>
        <item x="217"/>
        <item x="213"/>
        <item x="214"/>
        <item x="215"/>
        <item x="216"/>
        <item x="236"/>
        <item x="237"/>
        <item x="238"/>
        <item x="239"/>
        <item x="258"/>
        <item x="259"/>
        <item x="257"/>
        <item x="244"/>
        <item x="240"/>
        <item x="245"/>
        <item x="260"/>
        <item x="243"/>
        <item x="246"/>
        <item x="242"/>
        <item x="262"/>
        <item x="261"/>
        <item x="247"/>
        <item x="256"/>
        <item x="241"/>
        <item x="248"/>
        <item x="255"/>
        <item x="254"/>
        <item x="249"/>
        <item x="253"/>
        <item x="250"/>
        <item x="252"/>
        <item x="263"/>
        <item x="251"/>
        <item x="264"/>
        <item x="265"/>
        <item x="266"/>
        <item x="322"/>
        <item x="321"/>
        <item x="323"/>
        <item x="324"/>
        <item x="320"/>
        <item x="267"/>
        <item x="325"/>
        <item x="319"/>
        <item x="318"/>
        <item x="326"/>
        <item x="317"/>
        <item x="327"/>
        <item x="316"/>
        <item x="268"/>
        <item x="315"/>
        <item x="314"/>
        <item x="313"/>
        <item x="312"/>
        <item x="328"/>
        <item x="329"/>
        <item x="311"/>
        <item x="269"/>
        <item x="330"/>
        <item x="310"/>
        <item x="331"/>
        <item x="309"/>
        <item x="308"/>
        <item x="332"/>
        <item x="333"/>
        <item x="270"/>
        <item x="350"/>
        <item x="334"/>
        <item x="335"/>
        <item x="351"/>
        <item x="352"/>
        <item x="307"/>
        <item x="353"/>
        <item x="336"/>
        <item x="354"/>
        <item x="768"/>
        <item x="337"/>
        <item x="306"/>
        <item x="767"/>
        <item x="349"/>
        <item x="766"/>
        <item x="765"/>
        <item x="271"/>
        <item x="764"/>
        <item x="763"/>
        <item x="762"/>
        <item x="761"/>
        <item x="760"/>
        <item x="759"/>
        <item x="338"/>
        <item x="758"/>
        <item x="757"/>
        <item x="756"/>
        <item x="755"/>
        <item x="355"/>
        <item x="754"/>
        <item x="753"/>
        <item x="752"/>
        <item x="751"/>
        <item x="712"/>
        <item x="713"/>
        <item x="711"/>
        <item x="272"/>
        <item x="710"/>
        <item x="714"/>
        <item x="709"/>
        <item x="708"/>
        <item x="750"/>
        <item x="339"/>
        <item x="715"/>
        <item x="707"/>
        <item x="348"/>
        <item x="305"/>
        <item x="716"/>
        <item x="356"/>
        <item x="706"/>
        <item x="749"/>
        <item x="717"/>
        <item x="727"/>
        <item x="726"/>
        <item x="718"/>
        <item x="728"/>
        <item x="705"/>
        <item x="748"/>
        <item x="729"/>
        <item x="725"/>
        <item x="730"/>
        <item x="724"/>
        <item x="719"/>
        <item x="731"/>
        <item x="723"/>
        <item x="747"/>
        <item x="704"/>
        <item x="722"/>
        <item x="732"/>
        <item x="720"/>
        <item x="721"/>
        <item x="733"/>
        <item x="304"/>
        <item x="734"/>
        <item x="735"/>
        <item x="746"/>
        <item x="736"/>
        <item x="737"/>
        <item x="703"/>
        <item x="273"/>
        <item x="738"/>
        <item x="745"/>
        <item x="739"/>
        <item x="744"/>
        <item x="743"/>
        <item x="742"/>
        <item x="741"/>
        <item x="702"/>
        <item x="740"/>
        <item x="701"/>
        <item x="340"/>
        <item x="700"/>
        <item x="699"/>
        <item x="694"/>
        <item x="695"/>
        <item x="698"/>
        <item x="696"/>
        <item x="693"/>
        <item x="697"/>
        <item x="347"/>
        <item x="692"/>
        <item x="691"/>
        <item x="274"/>
        <item x="690"/>
        <item x="689"/>
        <item x="341"/>
        <item x="688"/>
        <item x="346"/>
        <item x="687"/>
        <item x="303"/>
        <item x="686"/>
        <item x="685"/>
        <item x="684"/>
        <item x="345"/>
        <item x="343"/>
        <item x="683"/>
        <item x="275"/>
        <item x="344"/>
        <item x="682"/>
        <item x="342"/>
        <item x="681"/>
        <item x="680"/>
        <item x="357"/>
        <item x="679"/>
        <item x="514"/>
        <item x="513"/>
        <item x="678"/>
        <item x="677"/>
        <item x="515"/>
        <item x="676"/>
        <item x="276"/>
        <item x="675"/>
        <item x="358"/>
        <item x="674"/>
        <item x="516"/>
        <item x="531"/>
        <item x="532"/>
        <item x="673"/>
        <item x="530"/>
        <item x="517"/>
        <item x="529"/>
        <item x="512"/>
        <item x="533"/>
        <item x="672"/>
        <item x="528"/>
        <item x="518"/>
        <item x="527"/>
        <item x="366"/>
        <item x="671"/>
        <item x="277"/>
        <item x="526"/>
        <item x="519"/>
        <item x="359"/>
        <item x="365"/>
        <item x="670"/>
        <item x="520"/>
        <item x="525"/>
        <item x="362"/>
        <item x="521"/>
        <item x="302"/>
        <item x="534"/>
        <item x="522"/>
        <item x="524"/>
        <item x="523"/>
        <item x="360"/>
        <item x="511"/>
        <item x="361"/>
        <item x="669"/>
        <item x="364"/>
        <item x="535"/>
        <item x="367"/>
        <item x="363"/>
        <item x="668"/>
        <item x="536"/>
        <item x="510"/>
        <item x="368"/>
        <item x="667"/>
        <item x="369"/>
        <item x="278"/>
        <item x="537"/>
        <item x="666"/>
        <item x="509"/>
        <item x="370"/>
        <item x="301"/>
        <item x="371"/>
        <item x="665"/>
        <item x="282"/>
        <item x="546"/>
        <item x="281"/>
        <item x="547"/>
        <item x="372"/>
        <item x="545"/>
        <item x="538"/>
        <item x="373"/>
        <item x="664"/>
        <item x="629"/>
        <item x="548"/>
        <item x="628"/>
        <item x="630"/>
        <item x="627"/>
        <item x="640"/>
        <item x="641"/>
        <item x="642"/>
        <item x="631"/>
        <item x="626"/>
        <item x="643"/>
        <item x="280"/>
        <item x="550"/>
        <item x="374"/>
        <item x="639"/>
        <item x="632"/>
        <item x="625"/>
        <item x="633"/>
        <item x="644"/>
        <item x="624"/>
        <item x="544"/>
        <item x="508"/>
        <item x="634"/>
        <item x="645"/>
        <item x="638"/>
        <item x="637"/>
        <item x="635"/>
        <item x="623"/>
        <item x="636"/>
        <item x="549"/>
        <item x="622"/>
        <item x="375"/>
        <item x="621"/>
        <item x="646"/>
        <item x="551"/>
        <item x="649"/>
        <item x="648"/>
        <item x="650"/>
        <item x="620"/>
        <item x="651"/>
        <item x="652"/>
        <item x="663"/>
        <item x="647"/>
        <item x="553"/>
        <item x="376"/>
        <item x="653"/>
        <item x="542"/>
        <item x="491"/>
        <item x="552"/>
        <item x="490"/>
        <item x="279"/>
        <item x="662"/>
        <item x="619"/>
        <item x="654"/>
        <item x="539"/>
        <item x="492"/>
        <item x="659"/>
        <item x="541"/>
        <item x="489"/>
        <item x="660"/>
        <item x="493"/>
        <item x="655"/>
        <item x="618"/>
        <item x="494"/>
        <item x="543"/>
        <item x="656"/>
        <item x="661"/>
        <item x="657"/>
        <item x="658"/>
        <item x="488"/>
        <item x="487"/>
        <item x="486"/>
        <item x="485"/>
        <item x="484"/>
        <item x="474"/>
        <item x="495"/>
        <item x="540"/>
        <item x="283"/>
        <item x="475"/>
        <item x="483"/>
        <item x="617"/>
        <item x="496"/>
        <item x="482"/>
        <item x="476"/>
        <item x="480"/>
        <item x="478"/>
        <item x="479"/>
        <item x="477"/>
        <item x="554"/>
        <item x="481"/>
        <item x="616"/>
        <item x="507"/>
        <item x="497"/>
        <item x="555"/>
        <item x="377"/>
        <item x="615"/>
        <item x="498"/>
        <item x="606"/>
        <item x="499"/>
        <item x="300"/>
        <item x="607"/>
        <item x="500"/>
        <item x="608"/>
        <item x="614"/>
        <item x="605"/>
        <item x="501"/>
        <item x="473"/>
        <item x="502"/>
        <item x="504"/>
        <item x="609"/>
        <item x="503"/>
        <item x="556"/>
        <item x="505"/>
        <item x="613"/>
        <item x="610"/>
        <item x="604"/>
        <item x="506"/>
        <item x="612"/>
        <item x="611"/>
        <item x="603"/>
        <item x="286"/>
        <item x="378"/>
        <item x="557"/>
        <item x="602"/>
        <item x="284"/>
        <item x="472"/>
        <item x="287"/>
        <item x="285"/>
        <item x="601"/>
        <item x="379"/>
        <item x="558"/>
        <item x="600"/>
        <item x="288"/>
        <item x="380"/>
        <item x="599"/>
        <item x="559"/>
        <item x="471"/>
        <item x="299"/>
        <item x="598"/>
        <item x="291"/>
        <item x="292"/>
        <item x="381"/>
        <item x="399"/>
        <item x="289"/>
        <item x="597"/>
        <item x="400"/>
        <item x="406"/>
        <item x="290"/>
        <item x="298"/>
        <item x="401"/>
        <item x="560"/>
        <item x="405"/>
        <item x="402"/>
        <item x="596"/>
        <item x="561"/>
        <item x="404"/>
        <item x="595"/>
        <item x="594"/>
        <item x="293"/>
        <item x="592"/>
        <item x="593"/>
        <item x="382"/>
        <item x="591"/>
        <item x="403"/>
        <item x="398"/>
        <item x="407"/>
        <item x="590"/>
        <item x="470"/>
        <item x="408"/>
        <item x="589"/>
        <item x="562"/>
        <item x="409"/>
        <item x="294"/>
        <item x="588"/>
        <item x="410"/>
        <item x="587"/>
        <item x="563"/>
        <item x="586"/>
        <item x="295"/>
        <item x="297"/>
        <item x="564"/>
        <item x="383"/>
        <item x="585"/>
        <item x="565"/>
        <item x="397"/>
        <item x="296"/>
        <item x="566"/>
        <item x="584"/>
        <item x="567"/>
        <item x="583"/>
        <item x="568"/>
        <item x="411"/>
        <item x="582"/>
        <item x="569"/>
        <item x="575"/>
        <item x="574"/>
        <item x="384"/>
        <item x="573"/>
        <item x="570"/>
        <item x="576"/>
        <item x="571"/>
        <item x="581"/>
        <item x="572"/>
        <item x="577"/>
        <item x="580"/>
        <item x="579"/>
        <item x="578"/>
        <item x="385"/>
        <item x="469"/>
        <item x="396"/>
        <item x="386"/>
        <item x="387"/>
        <item x="388"/>
        <item x="395"/>
        <item x="412"/>
        <item x="389"/>
        <item x="434"/>
        <item x="435"/>
        <item x="394"/>
        <item x="436"/>
        <item x="390"/>
        <item x="437"/>
        <item x="468"/>
        <item x="433"/>
        <item x="413"/>
        <item x="393"/>
        <item x="391"/>
        <item x="421"/>
        <item x="438"/>
        <item x="422"/>
        <item x="414"/>
        <item x="392"/>
        <item x="423"/>
        <item x="439"/>
        <item x="432"/>
        <item x="440"/>
        <item x="420"/>
        <item x="441"/>
        <item x="415"/>
        <item x="442"/>
        <item x="424"/>
        <item x="419"/>
        <item x="443"/>
        <item x="444"/>
        <item x="418"/>
        <item x="445"/>
        <item x="417"/>
        <item x="431"/>
        <item x="416"/>
        <item x="425"/>
        <item x="446"/>
        <item x="467"/>
        <item x="447"/>
        <item x="426"/>
        <item x="430"/>
        <item x="448"/>
        <item x="427"/>
        <item x="449"/>
        <item x="429"/>
        <item x="450"/>
        <item x="466"/>
        <item x="428"/>
        <item x="451"/>
        <item x="454"/>
        <item x="453"/>
        <item x="455"/>
        <item x="452"/>
        <item x="456"/>
        <item x="457"/>
        <item x="465"/>
        <item x="458"/>
        <item x="459"/>
        <item x="464"/>
        <item x="460"/>
        <item x="461"/>
        <item x="462"/>
        <item x="463"/>
        <item x="0"/>
        <item t="default"/>
      </items>
    </pivotField>
    <pivotField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14"/>
    <field x="13"/>
    <field x="0"/>
    <field x="11"/>
  </rowFields>
  <rowItems count="5">
    <i>
      <x v="1"/>
    </i>
    <i>
      <x v="2"/>
    </i>
    <i>
      <x v="3"/>
    </i>
    <i>
      <x v="4"/>
    </i>
    <i t="grand">
      <x/>
    </i>
  </rowItems>
  <colFields count="1">
    <field x="-2"/>
  </colFields>
  <colItems count="3">
    <i>
      <x/>
    </i>
    <i i="1">
      <x v="1"/>
    </i>
    <i i="2">
      <x v="2"/>
    </i>
  </colItems>
  <dataFields count="3">
    <dataField name="StdDevp of Rolling 7-Day Avg" fld="11" subtotal="stdDevp" baseField="14" baseItem="1"/>
    <dataField name="Average of High" fld="3" subtotal="average" baseField="14" baseItem="1"/>
    <dataField name="Average of Low" fld="4" subtotal="average" baseField="14" baseItem="1"/>
  </dataFields>
  <chartFormats count="9">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7">
    <queryTableFields count="6">
      <queryTableField id="1" name="Date" tableColumnId="13"/>
      <queryTableField id="2" name="Rate" tableColumnId="14"/>
      <queryTableField id="3" name="Open" tableColumnId="15"/>
      <queryTableField id="4" name="High" tableColumnId="16"/>
      <queryTableField id="5" name="Low" tableColumnId="17"/>
      <queryTableField id="6" name="Change %" tableColumnId="18"/>
    </queryTableFields>
  </queryTableRefresh>
</queryTable>
</file>

<file path=xl/queryTables/queryTable2.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15" unboundColumnsRight="7">
    <queryTableFields count="13">
      <queryTableField id="1" name="Date" tableColumnId="13"/>
      <queryTableField id="2" name="Rate" tableColumnId="14"/>
      <queryTableField id="3" name="Open" tableColumnId="15"/>
      <queryTableField id="4" name="High" tableColumnId="16"/>
      <queryTableField id="5" name="Low" tableColumnId="17"/>
      <queryTableField id="6" name="Change %" tableColumnId="18"/>
      <queryTableField id="7" dataBound="0" tableColumnId="19"/>
      <queryTableField id="8" dataBound="0" tableColumnId="20"/>
      <queryTableField id="9" dataBound="0" tableColumnId="21"/>
      <queryTableField id="10" dataBound="0" tableColumnId="22"/>
      <queryTableField id="11" dataBound="0" tableColumnId="23"/>
      <queryTableField id="14" dataBound="0" tableColumnId="24"/>
      <queryTableField id="13"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7" name="PivotTable8"/>
    <pivotTable tabId="7" name="PivotTable10"/>
    <pivotTable tabId="7" name="PivotTable6"/>
    <pivotTable tabId="7" name="PivotTable7"/>
    <pivotTable tabId="7" name="PivotTable9"/>
    <pivotTable tabId="7" name="PivotTable1"/>
    <pivotTable tabId="7" name="PivotTable2"/>
    <pivotTable tabId="7" name="PivotTable3"/>
  </pivotTables>
  <data>
    <tabular pivotCacheId="1">
      <items count="12">
        <i x="0" s="1"/>
        <i x="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PivotTable6"/>
    <pivotTable tabId="7" name="PivotTable10"/>
    <pivotTable tabId="7" name="PivotTable7"/>
    <pivotTable tabId="7" name="PivotTable8"/>
    <pivotTable tabId="7" name="PivotTable9"/>
    <pivotTable tabId="7" name="PivotTable1"/>
    <pivotTable tabId="7" name="PivotTable2"/>
    <pivotTable tabId="7" name="PivotTable3"/>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startItem="5" rowHeight="241300"/>
  <slicer name="Year"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2" name="USD_NGN_Historical_Data__1" displayName="USD_NGN_Historical_Data__1" ref="A1:F806" tableType="queryTable" totalsRowShown="0">
  <autoFilter ref="A1:F806"/>
  <sortState ref="A2:F806">
    <sortCondition ref="A2"/>
  </sortState>
  <tableColumns count="6">
    <tableColumn id="13" uniqueName="13" name="Date" queryTableFieldId="1" dataDxfId="40"/>
    <tableColumn id="14" uniqueName="14" name="Rate" queryTableFieldId="2" dataDxfId="39"/>
    <tableColumn id="15" uniqueName="15" name="Open" queryTableFieldId="3" dataDxfId="38"/>
    <tableColumn id="16" uniqueName="16" name="High" queryTableFieldId="4" dataDxfId="37"/>
    <tableColumn id="17" uniqueName="17" name="Low" queryTableFieldId="5" dataDxfId="36"/>
    <tableColumn id="18" uniqueName="18" name="Change %" queryTableFieldId="6"/>
  </tableColumns>
  <tableStyleInfo name="TableStyleMedium7" showFirstColumn="0" showLastColumn="0" showRowStripes="1" showColumnStripes="0"/>
</table>
</file>

<file path=xl/tables/table2.xml><?xml version="1.0" encoding="utf-8"?>
<table xmlns="http://schemas.openxmlformats.org/spreadsheetml/2006/main" id="6" name="USD_NGN_Historical_Data__17" displayName="USD_NGN_Historical_Data__17" ref="A1:M806" tableType="queryTable" totalsRowShown="0">
  <autoFilter ref="A1:M806"/>
  <sortState ref="A2:F806">
    <sortCondition ref="A2:A806"/>
  </sortState>
  <tableColumns count="13">
    <tableColumn id="13" uniqueName="13" name="Date" queryTableFieldId="1" dataDxfId="35"/>
    <tableColumn id="14" uniqueName="14" name="Rate" queryTableFieldId="2" dataDxfId="34"/>
    <tableColumn id="15" uniqueName="15" name="Open" queryTableFieldId="3" dataDxfId="33"/>
    <tableColumn id="16" uniqueName="16" name="High" queryTableFieldId="4" dataDxfId="32"/>
    <tableColumn id="17" uniqueName="17" name="Low" queryTableFieldId="5" dataDxfId="31"/>
    <tableColumn id="18" uniqueName="18" name="Change %" queryTableFieldId="6"/>
    <tableColumn id="19" uniqueName="19" name="Year" queryTableFieldId="7" dataDxfId="30">
      <calculatedColumnFormula>YEAR(A2)</calculatedColumnFormula>
    </tableColumn>
    <tableColumn id="20" uniqueName="20" name="Month" queryTableFieldId="8" dataDxfId="29">
      <calculatedColumnFormula>TEXT(A2,"mmm")</calculatedColumnFormula>
    </tableColumn>
    <tableColumn id="21" uniqueName="21" name="Month_Num2" queryTableFieldId="9" dataDxfId="28">
      <calculatedColumnFormula>MONTH(A2)</calculatedColumnFormula>
    </tableColumn>
    <tableColumn id="22" uniqueName="22" name="YearMonth" queryTableFieldId="10" dataDxfId="27">
      <calculatedColumnFormula>TEXT(A2,"yyyy-mm")</calculatedColumnFormula>
    </tableColumn>
    <tableColumn id="23" uniqueName="23" name="Week" queryTableFieldId="11" dataDxfId="26">
      <calculatedColumnFormula>WEEKNUM(A2)</calculatedColumnFormula>
    </tableColumn>
    <tableColumn id="24" uniqueName="24" name="Rolling 7-Day Avg" queryTableFieldId="14" dataDxfId="25">
      <calculatedColumnFormula>AVERAGE(OFFSET(USD_NGN_Historical_Data__17[[#This Row],[Rate]], -6, 0, 7, 1))</calculatedColumnFormula>
    </tableColumn>
    <tableColumn id="25" uniqueName="25" name="Weekday" queryTableFieldId="13" dataDxfId="24">
      <calculatedColumnFormula>TEXT(A2, "ddd")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06"/>
  <sheetViews>
    <sheetView workbookViewId="0">
      <selection activeCell="A2" sqref="A2:F806"/>
    </sheetView>
  </sheetViews>
  <sheetFormatPr defaultRowHeight="14.5" x14ac:dyDescent="0.35"/>
  <cols>
    <col min="1" max="1" width="10.453125" bestFit="1" customWidth="1"/>
    <col min="2" max="4" width="8.81640625" bestFit="1" customWidth="1"/>
    <col min="5" max="5" width="8.81640625" style="2" bestFit="1" customWidth="1"/>
    <col min="6" max="6" width="11.1796875" bestFit="1" customWidth="1"/>
    <col min="9" max="9" width="11.08984375" customWidth="1"/>
  </cols>
  <sheetData>
    <row r="1" spans="1:10" x14ac:dyDescent="0.35">
      <c r="A1" s="1" t="s">
        <v>0</v>
      </c>
      <c r="B1" s="1" t="s">
        <v>1</v>
      </c>
      <c r="C1" s="1" t="s">
        <v>2</v>
      </c>
      <c r="D1" s="1" t="s">
        <v>3</v>
      </c>
      <c r="E1" s="2" t="s">
        <v>4</v>
      </c>
      <c r="F1" s="1" t="s">
        <v>5</v>
      </c>
    </row>
    <row r="2" spans="1:10" x14ac:dyDescent="0.35">
      <c r="A2" s="3" t="s">
        <v>788</v>
      </c>
      <c r="B2" s="2">
        <v>460.02</v>
      </c>
      <c r="C2" s="2">
        <v>460.52</v>
      </c>
      <c r="D2" s="2">
        <v>460.55</v>
      </c>
      <c r="E2" s="2">
        <v>460.5</v>
      </c>
      <c r="F2" s="1">
        <v>0</v>
      </c>
    </row>
    <row r="3" spans="1:10" x14ac:dyDescent="0.35">
      <c r="A3" s="2" t="s">
        <v>768</v>
      </c>
      <c r="B3" s="2">
        <v>459.97</v>
      </c>
      <c r="C3" s="2">
        <v>460.47</v>
      </c>
      <c r="D3" s="2">
        <v>460.47</v>
      </c>
      <c r="E3" s="2">
        <v>460.46</v>
      </c>
      <c r="F3" s="1">
        <v>0</v>
      </c>
    </row>
    <row r="4" spans="1:10" x14ac:dyDescent="0.35">
      <c r="A4" s="2" t="s">
        <v>725</v>
      </c>
      <c r="B4" s="2">
        <v>459.87</v>
      </c>
      <c r="C4" s="2">
        <v>460.47</v>
      </c>
      <c r="D4" s="2">
        <v>460.48</v>
      </c>
      <c r="E4" s="2">
        <v>460.37</v>
      </c>
      <c r="F4" s="1">
        <v>-2.0000000000000001E-4</v>
      </c>
    </row>
    <row r="5" spans="1:10" x14ac:dyDescent="0.35">
      <c r="A5" s="2" t="s">
        <v>702</v>
      </c>
      <c r="B5" s="2">
        <v>460.76</v>
      </c>
      <c r="C5" s="2">
        <v>461.1</v>
      </c>
      <c r="D5" s="2">
        <v>465.5</v>
      </c>
      <c r="E5" s="2">
        <v>461.1</v>
      </c>
      <c r="F5" s="1">
        <v>2.9999999999999997E-4</v>
      </c>
    </row>
    <row r="6" spans="1:10" x14ac:dyDescent="0.35">
      <c r="A6" s="2" t="s">
        <v>659</v>
      </c>
      <c r="B6" s="2">
        <v>757.02</v>
      </c>
      <c r="C6" s="2">
        <v>760.4</v>
      </c>
      <c r="D6" s="2">
        <v>771.55</v>
      </c>
      <c r="E6" s="2">
        <v>745.5</v>
      </c>
      <c r="F6" s="1">
        <v>-2.5000000000000001E-3</v>
      </c>
      <c r="I6" s="9"/>
      <c r="J6" s="9"/>
    </row>
    <row r="7" spans="1:10" x14ac:dyDescent="0.35">
      <c r="A7" s="2" t="s">
        <v>636</v>
      </c>
      <c r="B7" s="2">
        <v>756.52</v>
      </c>
      <c r="C7" s="2">
        <v>773.5</v>
      </c>
      <c r="D7" s="2">
        <v>775.5</v>
      </c>
      <c r="E7" s="2">
        <v>738.5</v>
      </c>
      <c r="F7" s="1">
        <v>-2.1299999999999999E-2</v>
      </c>
    </row>
    <row r="8" spans="1:10" x14ac:dyDescent="0.35">
      <c r="A8" s="2" t="s">
        <v>593</v>
      </c>
      <c r="B8" s="2">
        <v>787</v>
      </c>
      <c r="C8" s="2">
        <v>787.5</v>
      </c>
      <c r="D8" s="2">
        <v>789.5</v>
      </c>
      <c r="E8" s="2">
        <v>786.5</v>
      </c>
      <c r="F8" s="1">
        <v>2.5000000000000001E-3</v>
      </c>
    </row>
    <row r="9" spans="1:10" x14ac:dyDescent="0.35">
      <c r="A9" s="2" t="s">
        <v>571</v>
      </c>
      <c r="B9" s="2">
        <v>788</v>
      </c>
      <c r="C9" s="2">
        <v>790.5</v>
      </c>
      <c r="D9" s="2">
        <v>790.5</v>
      </c>
      <c r="E9" s="2">
        <v>788.5</v>
      </c>
      <c r="F9" s="1">
        <v>-2.5000000000000001E-3</v>
      </c>
    </row>
    <row r="10" spans="1:10" x14ac:dyDescent="0.35">
      <c r="A10" s="2" t="s">
        <v>810</v>
      </c>
      <c r="B10" s="2">
        <v>447.58</v>
      </c>
      <c r="C10" s="2">
        <v>448.08</v>
      </c>
      <c r="D10" s="2">
        <v>448.08</v>
      </c>
      <c r="E10" s="2">
        <v>448.08</v>
      </c>
      <c r="F10" s="1">
        <v>0</v>
      </c>
    </row>
    <row r="11" spans="1:10" x14ac:dyDescent="0.35">
      <c r="A11" s="2" t="s">
        <v>787</v>
      </c>
      <c r="B11" s="2">
        <v>460.04</v>
      </c>
      <c r="C11" s="2">
        <v>460.52</v>
      </c>
      <c r="D11" s="2">
        <v>460.54</v>
      </c>
      <c r="E11" s="2">
        <v>460.52</v>
      </c>
      <c r="F11" s="1">
        <v>0</v>
      </c>
    </row>
    <row r="12" spans="1:10" x14ac:dyDescent="0.35">
      <c r="A12" s="2" t="s">
        <v>767</v>
      </c>
      <c r="B12" s="2">
        <v>459.97</v>
      </c>
      <c r="C12" s="2">
        <v>460.47</v>
      </c>
      <c r="D12" s="2">
        <v>460.47</v>
      </c>
      <c r="E12" s="2">
        <v>460.45</v>
      </c>
      <c r="F12" s="1">
        <v>0</v>
      </c>
    </row>
    <row r="13" spans="1:10" x14ac:dyDescent="0.35">
      <c r="A13" s="2" t="s">
        <v>724</v>
      </c>
      <c r="B13" s="2">
        <v>459.81</v>
      </c>
      <c r="C13" s="2">
        <v>460.37</v>
      </c>
      <c r="D13" s="2">
        <v>460.5</v>
      </c>
      <c r="E13" s="2">
        <v>460.31</v>
      </c>
      <c r="F13" s="1">
        <v>-1E-4</v>
      </c>
    </row>
    <row r="14" spans="1:10" x14ac:dyDescent="0.35">
      <c r="A14" s="2" t="s">
        <v>701</v>
      </c>
      <c r="B14" s="2">
        <v>460.92</v>
      </c>
      <c r="C14" s="2">
        <v>461.26</v>
      </c>
      <c r="D14" s="2">
        <v>461.42</v>
      </c>
      <c r="E14" s="2">
        <v>461.25</v>
      </c>
      <c r="F14" s="1">
        <v>2.9999999999999997E-4</v>
      </c>
    </row>
    <row r="15" spans="1:10" x14ac:dyDescent="0.35">
      <c r="A15" s="2" t="s">
        <v>658</v>
      </c>
      <c r="B15" s="2">
        <v>777</v>
      </c>
      <c r="C15" s="2">
        <v>758.52</v>
      </c>
      <c r="D15" s="2">
        <v>778.5</v>
      </c>
      <c r="E15" s="2">
        <v>752.5</v>
      </c>
      <c r="F15" s="1">
        <v>2.64E-2</v>
      </c>
    </row>
    <row r="16" spans="1:10" x14ac:dyDescent="0.35">
      <c r="A16" s="2" t="s">
        <v>615</v>
      </c>
      <c r="B16" s="2">
        <v>766.47</v>
      </c>
      <c r="C16" s="2">
        <v>769.55</v>
      </c>
      <c r="D16" s="2">
        <v>771.02499999999998</v>
      </c>
      <c r="E16" s="2">
        <v>766.97</v>
      </c>
      <c r="F16" s="1">
        <v>-2E-3</v>
      </c>
    </row>
    <row r="17" spans="1:6" x14ac:dyDescent="0.35">
      <c r="A17" s="2" t="s">
        <v>592</v>
      </c>
      <c r="B17" s="2">
        <v>787</v>
      </c>
      <c r="C17" s="2">
        <v>787.5</v>
      </c>
      <c r="D17" s="2">
        <v>788.5</v>
      </c>
      <c r="E17" s="2">
        <v>787.5</v>
      </c>
      <c r="F17" s="1">
        <v>0</v>
      </c>
    </row>
    <row r="18" spans="1:6" x14ac:dyDescent="0.35">
      <c r="A18" s="2" t="s">
        <v>809</v>
      </c>
      <c r="B18" s="2">
        <v>448.05</v>
      </c>
      <c r="C18" s="2">
        <v>448.08</v>
      </c>
      <c r="D18" s="2">
        <v>448.55</v>
      </c>
      <c r="E18" s="2">
        <v>445.5</v>
      </c>
      <c r="F18" s="1">
        <v>1.1000000000000001E-3</v>
      </c>
    </row>
    <row r="19" spans="1:6" x14ac:dyDescent="0.35">
      <c r="A19" s="2" t="s">
        <v>786</v>
      </c>
      <c r="B19" s="2">
        <v>460.04</v>
      </c>
      <c r="C19" s="2">
        <v>460.54</v>
      </c>
      <c r="D19" s="2">
        <v>460.54</v>
      </c>
      <c r="E19" s="2">
        <v>460.53</v>
      </c>
      <c r="F19" s="1">
        <v>0</v>
      </c>
    </row>
    <row r="20" spans="1:6" x14ac:dyDescent="0.35">
      <c r="A20" s="2" t="s">
        <v>766</v>
      </c>
      <c r="B20" s="2">
        <v>459.96</v>
      </c>
      <c r="C20" s="2">
        <v>460.47</v>
      </c>
      <c r="D20" s="2">
        <v>460.48</v>
      </c>
      <c r="E20" s="2">
        <v>460.46</v>
      </c>
      <c r="F20" s="1">
        <v>0</v>
      </c>
    </row>
    <row r="21" spans="1:6" x14ac:dyDescent="0.35">
      <c r="A21" s="2" t="s">
        <v>745</v>
      </c>
      <c r="B21" s="2">
        <v>459.83</v>
      </c>
      <c r="C21" s="2">
        <v>460.34</v>
      </c>
      <c r="D21" s="2">
        <v>460.35</v>
      </c>
      <c r="E21" s="2">
        <v>460.32</v>
      </c>
      <c r="F21" s="1">
        <v>0</v>
      </c>
    </row>
    <row r="22" spans="1:6" x14ac:dyDescent="0.35">
      <c r="A22" s="2" t="s">
        <v>723</v>
      </c>
      <c r="B22" s="2">
        <v>459.85</v>
      </c>
      <c r="C22" s="2">
        <v>460.31</v>
      </c>
      <c r="D22" s="2">
        <v>460.35</v>
      </c>
      <c r="E22" s="2">
        <v>460.3</v>
      </c>
      <c r="F22" s="1">
        <v>1E-4</v>
      </c>
    </row>
    <row r="23" spans="1:6" x14ac:dyDescent="0.35">
      <c r="A23" s="2" t="s">
        <v>680</v>
      </c>
      <c r="B23" s="2">
        <v>769.88</v>
      </c>
      <c r="C23" s="2">
        <v>760.27</v>
      </c>
      <c r="D23" s="2">
        <v>775.5</v>
      </c>
      <c r="E23" s="2">
        <v>756.5</v>
      </c>
      <c r="F23" s="1">
        <v>1.46E-2</v>
      </c>
    </row>
    <row r="24" spans="1:6" x14ac:dyDescent="0.35">
      <c r="A24" s="2" t="s">
        <v>657</v>
      </c>
      <c r="B24" s="2">
        <v>777</v>
      </c>
      <c r="C24" s="2">
        <v>776.36</v>
      </c>
      <c r="D24" s="2">
        <v>792.5</v>
      </c>
      <c r="E24" s="2">
        <v>760.5</v>
      </c>
      <c r="F24" s="1">
        <v>0</v>
      </c>
    </row>
    <row r="25" spans="1:6" x14ac:dyDescent="0.35">
      <c r="A25" s="2" t="s">
        <v>614</v>
      </c>
      <c r="B25" s="2">
        <v>766.45</v>
      </c>
      <c r="C25" s="2">
        <v>766.97</v>
      </c>
      <c r="D25" s="2">
        <v>798.5</v>
      </c>
      <c r="E25" s="2">
        <v>766.95</v>
      </c>
      <c r="F25" s="1">
        <v>0</v>
      </c>
    </row>
    <row r="26" spans="1:6" x14ac:dyDescent="0.35">
      <c r="A26" s="2" t="s">
        <v>591</v>
      </c>
      <c r="B26" s="2">
        <v>806.27</v>
      </c>
      <c r="C26" s="2">
        <v>815.51</v>
      </c>
      <c r="D26" s="2">
        <v>815.51</v>
      </c>
      <c r="E26" s="2">
        <v>806.13499999999999</v>
      </c>
      <c r="F26" s="1">
        <v>2.4500000000000001E-2</v>
      </c>
    </row>
    <row r="27" spans="1:6" x14ac:dyDescent="0.35">
      <c r="A27" s="2" t="s">
        <v>808</v>
      </c>
      <c r="B27" s="2">
        <v>448.51</v>
      </c>
      <c r="C27" s="2">
        <v>448.55</v>
      </c>
      <c r="D27" s="2">
        <v>449.01</v>
      </c>
      <c r="E27" s="2">
        <v>448.55</v>
      </c>
      <c r="F27" s="1">
        <v>1E-3</v>
      </c>
    </row>
    <row r="28" spans="1:6" x14ac:dyDescent="0.35">
      <c r="A28" s="2" t="s">
        <v>744</v>
      </c>
      <c r="B28" s="2">
        <v>459.83</v>
      </c>
      <c r="C28" s="2">
        <v>460.33</v>
      </c>
      <c r="D28" s="2">
        <v>460.33</v>
      </c>
      <c r="E28" s="2">
        <v>460.32</v>
      </c>
      <c r="F28" s="1">
        <v>0</v>
      </c>
    </row>
    <row r="29" spans="1:6" x14ac:dyDescent="0.35">
      <c r="A29" s="2" t="s">
        <v>722</v>
      </c>
      <c r="B29" s="2">
        <v>459.84</v>
      </c>
      <c r="C29" s="2">
        <v>460.35</v>
      </c>
      <c r="D29" s="2">
        <v>460.35</v>
      </c>
      <c r="E29" s="2">
        <v>460.32</v>
      </c>
      <c r="F29" s="1">
        <v>0</v>
      </c>
    </row>
    <row r="30" spans="1:6" x14ac:dyDescent="0.35">
      <c r="A30" s="2" t="s">
        <v>679</v>
      </c>
      <c r="B30" s="2">
        <v>769.88</v>
      </c>
      <c r="C30" s="2">
        <v>770.5</v>
      </c>
      <c r="D30" s="2">
        <v>775.5</v>
      </c>
      <c r="E30" s="2">
        <v>765.5</v>
      </c>
      <c r="F30" s="1">
        <v>0</v>
      </c>
    </row>
    <row r="31" spans="1:6" x14ac:dyDescent="0.35">
      <c r="A31" s="2" t="s">
        <v>656</v>
      </c>
      <c r="B31" s="2">
        <v>765.95</v>
      </c>
      <c r="C31" s="2">
        <v>777.5</v>
      </c>
      <c r="D31" s="2">
        <v>778</v>
      </c>
      <c r="E31" s="2">
        <v>767.45</v>
      </c>
      <c r="F31" s="1">
        <v>-1.4200000000000001E-2</v>
      </c>
    </row>
    <row r="32" spans="1:6" x14ac:dyDescent="0.35">
      <c r="A32" s="2" t="s">
        <v>635</v>
      </c>
      <c r="B32" s="2">
        <v>756.52</v>
      </c>
      <c r="C32" s="2">
        <v>757.02</v>
      </c>
      <c r="D32" s="2">
        <v>757.02</v>
      </c>
      <c r="E32" s="2">
        <v>757.02</v>
      </c>
      <c r="F32" s="1">
        <v>0</v>
      </c>
    </row>
    <row r="33" spans="1:6" x14ac:dyDescent="0.35">
      <c r="A33" s="2" t="s">
        <v>613</v>
      </c>
      <c r="B33" s="2">
        <v>746.61</v>
      </c>
      <c r="C33" s="2">
        <v>766.95</v>
      </c>
      <c r="D33" s="2">
        <v>770.5</v>
      </c>
      <c r="E33" s="2">
        <v>747.1</v>
      </c>
      <c r="F33" s="1">
        <v>-2.5899999999999999E-2</v>
      </c>
    </row>
    <row r="34" spans="1:6" x14ac:dyDescent="0.35">
      <c r="A34" s="2" t="s">
        <v>570</v>
      </c>
      <c r="B34" s="2">
        <v>798</v>
      </c>
      <c r="C34" s="2">
        <v>789</v>
      </c>
      <c r="D34" s="2">
        <v>799.5</v>
      </c>
      <c r="E34" s="2">
        <v>789</v>
      </c>
      <c r="F34" s="1">
        <v>1.2699999999999999E-2</v>
      </c>
    </row>
    <row r="35" spans="1:6" x14ac:dyDescent="0.35">
      <c r="A35" s="2" t="s">
        <v>807</v>
      </c>
      <c r="B35" s="2">
        <v>449.03</v>
      </c>
      <c r="C35" s="2">
        <v>449.01</v>
      </c>
      <c r="D35" s="2">
        <v>449.53</v>
      </c>
      <c r="E35" s="2">
        <v>449.01</v>
      </c>
      <c r="F35" s="1">
        <v>1.1999999999999999E-3</v>
      </c>
    </row>
    <row r="36" spans="1:6" x14ac:dyDescent="0.35">
      <c r="A36" s="2" t="s">
        <v>743</v>
      </c>
      <c r="B36" s="2">
        <v>459.86</v>
      </c>
      <c r="C36" s="2">
        <v>460.33</v>
      </c>
      <c r="D36" s="2">
        <v>460.36</v>
      </c>
      <c r="E36" s="2">
        <v>460.32</v>
      </c>
      <c r="F36" s="1">
        <v>1E-4</v>
      </c>
    </row>
    <row r="37" spans="1:6" x14ac:dyDescent="0.35">
      <c r="A37" s="2" t="s">
        <v>721</v>
      </c>
      <c r="B37" s="2">
        <v>459.87</v>
      </c>
      <c r="C37" s="2">
        <v>460.34</v>
      </c>
      <c r="D37" s="2">
        <v>460.37</v>
      </c>
      <c r="E37" s="2">
        <v>460.33</v>
      </c>
      <c r="F37" s="1">
        <v>1E-4</v>
      </c>
    </row>
    <row r="38" spans="1:6" x14ac:dyDescent="0.35">
      <c r="A38" s="2" t="s">
        <v>700</v>
      </c>
      <c r="B38" s="2">
        <v>461.05</v>
      </c>
      <c r="C38" s="2">
        <v>461.42</v>
      </c>
      <c r="D38" s="2">
        <v>464.5</v>
      </c>
      <c r="E38" s="2">
        <v>460.5</v>
      </c>
      <c r="F38" s="1">
        <v>2.9999999999999997E-4</v>
      </c>
    </row>
    <row r="39" spans="1:6" x14ac:dyDescent="0.35">
      <c r="A39" s="2" t="s">
        <v>678</v>
      </c>
      <c r="B39" s="2">
        <v>772</v>
      </c>
      <c r="C39" s="2">
        <v>771.38</v>
      </c>
      <c r="D39" s="2">
        <v>776.5</v>
      </c>
      <c r="E39" s="2">
        <v>771.38</v>
      </c>
      <c r="F39" s="1">
        <v>2.8E-3</v>
      </c>
    </row>
    <row r="40" spans="1:6" x14ac:dyDescent="0.35">
      <c r="A40" s="2" t="s">
        <v>634</v>
      </c>
      <c r="B40" s="2">
        <v>760.53</v>
      </c>
      <c r="C40" s="2">
        <v>757.02</v>
      </c>
      <c r="D40" s="2">
        <v>765.5</v>
      </c>
      <c r="E40" s="2">
        <v>744.5</v>
      </c>
      <c r="F40" s="1">
        <v>5.3E-3</v>
      </c>
    </row>
    <row r="41" spans="1:6" x14ac:dyDescent="0.35">
      <c r="A41" s="2" t="s">
        <v>612</v>
      </c>
      <c r="B41" s="2">
        <v>761.54</v>
      </c>
      <c r="C41" s="2">
        <v>747.11</v>
      </c>
      <c r="D41" s="2">
        <v>770.5</v>
      </c>
      <c r="E41" s="2">
        <v>747.11</v>
      </c>
      <c r="F41" s="1">
        <v>0.02</v>
      </c>
    </row>
    <row r="42" spans="1:6" x14ac:dyDescent="0.35">
      <c r="A42" s="2" t="s">
        <v>569</v>
      </c>
      <c r="B42" s="2">
        <v>801</v>
      </c>
      <c r="C42" s="2">
        <v>799</v>
      </c>
      <c r="D42" s="2">
        <v>819.5</v>
      </c>
      <c r="E42" s="2">
        <v>789.5</v>
      </c>
      <c r="F42" s="1">
        <v>3.8E-3</v>
      </c>
    </row>
    <row r="43" spans="1:6" x14ac:dyDescent="0.35">
      <c r="A43" s="2" t="s">
        <v>806</v>
      </c>
      <c r="B43" s="2">
        <v>449.55</v>
      </c>
      <c r="C43" s="2">
        <v>449.53</v>
      </c>
      <c r="D43" s="2">
        <v>450.05</v>
      </c>
      <c r="E43" s="2">
        <v>449.53</v>
      </c>
      <c r="F43" s="1">
        <v>1.1999999999999999E-3</v>
      </c>
    </row>
    <row r="44" spans="1:6" x14ac:dyDescent="0.35">
      <c r="A44" s="2" t="s">
        <v>785</v>
      </c>
      <c r="B44" s="2">
        <v>459.2</v>
      </c>
      <c r="C44" s="2">
        <v>460.54</v>
      </c>
      <c r="D44" s="2">
        <v>460.55</v>
      </c>
      <c r="E44" s="2">
        <v>459.7</v>
      </c>
      <c r="F44" s="1">
        <v>-1.8E-3</v>
      </c>
    </row>
    <row r="45" spans="1:6" x14ac:dyDescent="0.35">
      <c r="A45" s="2" t="s">
        <v>765</v>
      </c>
      <c r="B45" s="2">
        <v>459.96</v>
      </c>
      <c r="C45" s="2">
        <v>460.46</v>
      </c>
      <c r="D45" s="2">
        <v>460.46</v>
      </c>
      <c r="E45" s="2">
        <v>460.45</v>
      </c>
      <c r="F45" s="1">
        <v>0</v>
      </c>
    </row>
    <row r="46" spans="1:6" x14ac:dyDescent="0.35">
      <c r="A46" s="2" t="s">
        <v>742</v>
      </c>
      <c r="B46" s="2">
        <v>459.83</v>
      </c>
      <c r="C46" s="2">
        <v>460.36</v>
      </c>
      <c r="D46" s="2">
        <v>460.36</v>
      </c>
      <c r="E46" s="2">
        <v>460.33</v>
      </c>
      <c r="F46" s="1">
        <v>-1E-4</v>
      </c>
    </row>
    <row r="47" spans="1:6" x14ac:dyDescent="0.35">
      <c r="A47" s="2" t="s">
        <v>699</v>
      </c>
      <c r="B47" s="2">
        <v>461.18</v>
      </c>
      <c r="C47" s="2">
        <v>461.55</v>
      </c>
      <c r="D47" s="2">
        <v>466</v>
      </c>
      <c r="E47" s="2">
        <v>461.52</v>
      </c>
      <c r="F47" s="1">
        <v>2.9999999999999997E-4</v>
      </c>
    </row>
    <row r="48" spans="1:6" x14ac:dyDescent="0.35">
      <c r="A48" s="2" t="s">
        <v>677</v>
      </c>
      <c r="B48" s="2">
        <v>774</v>
      </c>
      <c r="C48" s="2">
        <v>773.5</v>
      </c>
      <c r="D48" s="2">
        <v>776</v>
      </c>
      <c r="E48" s="2">
        <v>765.5</v>
      </c>
      <c r="F48" s="1">
        <v>2.5999999999999999E-3</v>
      </c>
    </row>
    <row r="49" spans="1:6" x14ac:dyDescent="0.35">
      <c r="A49" s="2" t="s">
        <v>633</v>
      </c>
      <c r="B49" s="2">
        <v>753</v>
      </c>
      <c r="C49" s="2">
        <v>761.03</v>
      </c>
      <c r="D49" s="2">
        <v>761.03</v>
      </c>
      <c r="E49" s="2">
        <v>753.93</v>
      </c>
      <c r="F49" s="1">
        <v>-9.9000000000000008E-3</v>
      </c>
    </row>
    <row r="50" spans="1:6" x14ac:dyDescent="0.35">
      <c r="A50" s="2" t="s">
        <v>611</v>
      </c>
      <c r="B50" s="2">
        <v>771.54</v>
      </c>
      <c r="C50" s="2">
        <v>762.04</v>
      </c>
      <c r="D50" s="2">
        <v>772.04</v>
      </c>
      <c r="E50" s="2">
        <v>762.04</v>
      </c>
      <c r="F50" s="1">
        <v>1.3100000000000001E-2</v>
      </c>
    </row>
    <row r="51" spans="1:6" x14ac:dyDescent="0.35">
      <c r="A51" s="2" t="s">
        <v>590</v>
      </c>
      <c r="B51" s="2">
        <v>799.2</v>
      </c>
      <c r="C51" s="2">
        <v>806.77</v>
      </c>
      <c r="D51" s="2">
        <v>807.13499999999999</v>
      </c>
      <c r="E51" s="2">
        <v>789.5</v>
      </c>
      <c r="F51" s="1">
        <v>-8.8000000000000005E-3</v>
      </c>
    </row>
    <row r="52" spans="1:6" x14ac:dyDescent="0.35">
      <c r="A52" s="2" t="s">
        <v>568</v>
      </c>
      <c r="B52" s="2">
        <v>801</v>
      </c>
      <c r="C52" s="2">
        <v>802</v>
      </c>
      <c r="D52" s="2">
        <v>802</v>
      </c>
      <c r="E52" s="2">
        <v>802</v>
      </c>
      <c r="F52" s="1">
        <v>0</v>
      </c>
    </row>
    <row r="53" spans="1:6" x14ac:dyDescent="0.35">
      <c r="A53" s="2" t="s">
        <v>784</v>
      </c>
      <c r="B53" s="2">
        <v>459.92</v>
      </c>
      <c r="C53" s="2">
        <v>459.7</v>
      </c>
      <c r="D53" s="2">
        <v>460.42</v>
      </c>
      <c r="E53" s="2">
        <v>459.7</v>
      </c>
      <c r="F53" s="1">
        <v>1.6000000000000001E-3</v>
      </c>
    </row>
    <row r="54" spans="1:6" x14ac:dyDescent="0.35">
      <c r="A54" s="2" t="s">
        <v>764</v>
      </c>
      <c r="B54" s="2">
        <v>459.96</v>
      </c>
      <c r="C54" s="2">
        <v>460.46</v>
      </c>
      <c r="D54" s="2">
        <v>460.47</v>
      </c>
      <c r="E54" s="2">
        <v>460.46</v>
      </c>
      <c r="F54" s="1">
        <v>0</v>
      </c>
    </row>
    <row r="55" spans="1:6" x14ac:dyDescent="0.35">
      <c r="A55" s="2" t="s">
        <v>741</v>
      </c>
      <c r="B55" s="2">
        <v>459.83</v>
      </c>
      <c r="C55" s="2">
        <v>460.33</v>
      </c>
      <c r="D55" s="2">
        <v>460.33</v>
      </c>
      <c r="E55" s="2">
        <v>460.33</v>
      </c>
      <c r="F55" s="1">
        <v>0</v>
      </c>
    </row>
    <row r="56" spans="1:6" x14ac:dyDescent="0.35">
      <c r="A56" s="2" t="s">
        <v>698</v>
      </c>
      <c r="B56" s="2">
        <v>461.18</v>
      </c>
      <c r="C56" s="2">
        <v>461.68</v>
      </c>
      <c r="D56" s="2">
        <v>474.5</v>
      </c>
      <c r="E56" s="2">
        <v>461.65</v>
      </c>
      <c r="F56" s="1">
        <v>0</v>
      </c>
    </row>
    <row r="57" spans="1:6" x14ac:dyDescent="0.35">
      <c r="A57" s="2" t="s">
        <v>676</v>
      </c>
      <c r="B57" s="2">
        <v>768</v>
      </c>
      <c r="C57" s="2">
        <v>775.5</v>
      </c>
      <c r="D57" s="2">
        <v>776</v>
      </c>
      <c r="E57" s="2">
        <v>765.5</v>
      </c>
      <c r="F57" s="1">
        <v>-7.7999999999999996E-3</v>
      </c>
    </row>
    <row r="58" spans="1:6" x14ac:dyDescent="0.35">
      <c r="A58" s="2" t="s">
        <v>655</v>
      </c>
      <c r="B58" s="2">
        <v>749.62</v>
      </c>
      <c r="C58" s="2">
        <v>767.45</v>
      </c>
      <c r="D58" s="2">
        <v>787.5</v>
      </c>
      <c r="E58" s="2">
        <v>751.12</v>
      </c>
      <c r="F58" s="1">
        <v>-2.1299999999999999E-2</v>
      </c>
    </row>
    <row r="59" spans="1:6" x14ac:dyDescent="0.35">
      <c r="A59" s="2" t="s">
        <v>632</v>
      </c>
      <c r="B59" s="2">
        <v>784.53</v>
      </c>
      <c r="C59" s="2">
        <v>754.36</v>
      </c>
      <c r="D59" s="2">
        <v>785.03</v>
      </c>
      <c r="E59" s="2">
        <v>754.36</v>
      </c>
      <c r="F59" s="1">
        <v>4.19E-2</v>
      </c>
    </row>
    <row r="60" spans="1:6" x14ac:dyDescent="0.35">
      <c r="A60" s="2" t="s">
        <v>589</v>
      </c>
      <c r="B60" s="2">
        <v>786.09</v>
      </c>
      <c r="C60" s="2">
        <v>799.7</v>
      </c>
      <c r="D60" s="2">
        <v>806.5</v>
      </c>
      <c r="E60" s="2">
        <v>786.59</v>
      </c>
      <c r="F60" s="1">
        <v>-1.6400000000000001E-2</v>
      </c>
    </row>
    <row r="61" spans="1:6" x14ac:dyDescent="0.35">
      <c r="A61" s="2" t="s">
        <v>567</v>
      </c>
      <c r="B61" s="2">
        <v>800</v>
      </c>
      <c r="C61" s="2">
        <v>802</v>
      </c>
      <c r="D61" s="2">
        <v>803</v>
      </c>
      <c r="E61" s="2">
        <v>789.5</v>
      </c>
      <c r="F61" s="1">
        <v>-1.1999999999999999E-3</v>
      </c>
    </row>
    <row r="62" spans="1:6" x14ac:dyDescent="0.35">
      <c r="A62" s="2" t="s">
        <v>783</v>
      </c>
      <c r="B62" s="2">
        <v>459.92</v>
      </c>
      <c r="C62" s="2">
        <v>460.42</v>
      </c>
      <c r="D62" s="2">
        <v>460.45</v>
      </c>
      <c r="E62" s="2">
        <v>460.42</v>
      </c>
      <c r="F62" s="1">
        <v>0</v>
      </c>
    </row>
    <row r="63" spans="1:6" x14ac:dyDescent="0.35">
      <c r="A63" s="2" t="s">
        <v>763</v>
      </c>
      <c r="B63" s="2">
        <v>459.99</v>
      </c>
      <c r="C63" s="2">
        <v>460.46</v>
      </c>
      <c r="D63" s="2">
        <v>460.49</v>
      </c>
      <c r="E63" s="2">
        <v>460.45</v>
      </c>
      <c r="F63" s="1">
        <v>1E-4</v>
      </c>
    </row>
    <row r="64" spans="1:6" x14ac:dyDescent="0.35">
      <c r="A64" s="2" t="s">
        <v>720</v>
      </c>
      <c r="B64" s="2">
        <v>460</v>
      </c>
      <c r="C64" s="2">
        <v>460.37</v>
      </c>
      <c r="D64" s="2">
        <v>461.5</v>
      </c>
      <c r="E64" s="2">
        <v>460.35</v>
      </c>
      <c r="F64" s="1">
        <v>2.9999999999999997E-4</v>
      </c>
    </row>
    <row r="65" spans="1:6" x14ac:dyDescent="0.35">
      <c r="A65" s="2" t="s">
        <v>697</v>
      </c>
      <c r="B65" s="2">
        <v>461.67</v>
      </c>
      <c r="C65" s="2">
        <v>461.68</v>
      </c>
      <c r="D65" s="2">
        <v>466</v>
      </c>
      <c r="E65" s="2">
        <v>461.68</v>
      </c>
      <c r="F65" s="1">
        <v>1.1000000000000001E-3</v>
      </c>
    </row>
    <row r="66" spans="1:6" x14ac:dyDescent="0.35">
      <c r="A66" s="2" t="s">
        <v>654</v>
      </c>
      <c r="B66" s="2">
        <v>761.44</v>
      </c>
      <c r="C66" s="2">
        <v>751.12</v>
      </c>
      <c r="D66" s="2">
        <v>762.94</v>
      </c>
      <c r="E66" s="2">
        <v>751.12</v>
      </c>
      <c r="F66" s="1">
        <v>1.5800000000000002E-2</v>
      </c>
    </row>
    <row r="67" spans="1:6" x14ac:dyDescent="0.35">
      <c r="A67" s="2" t="s">
        <v>631</v>
      </c>
      <c r="B67" s="2">
        <v>789</v>
      </c>
      <c r="C67" s="2">
        <v>785.03</v>
      </c>
      <c r="D67" s="2">
        <v>789.5</v>
      </c>
      <c r="E67" s="2">
        <v>785.03</v>
      </c>
      <c r="F67" s="1">
        <v>5.7000000000000002E-3</v>
      </c>
    </row>
    <row r="68" spans="1:6" x14ac:dyDescent="0.35">
      <c r="A68" s="2" t="s">
        <v>588</v>
      </c>
      <c r="B68" s="2">
        <v>802.8</v>
      </c>
      <c r="C68" s="2">
        <v>786.59</v>
      </c>
      <c r="D68" s="2">
        <v>806.5</v>
      </c>
      <c r="E68" s="2">
        <v>786.59</v>
      </c>
      <c r="F68" s="1">
        <v>2.1299999999999999E-2</v>
      </c>
    </row>
    <row r="69" spans="1:6" x14ac:dyDescent="0.35">
      <c r="A69" s="2" t="s">
        <v>566</v>
      </c>
      <c r="B69" s="2">
        <v>790</v>
      </c>
      <c r="C69" s="2">
        <v>801</v>
      </c>
      <c r="D69" s="2">
        <v>802.5</v>
      </c>
      <c r="E69" s="2">
        <v>789.5</v>
      </c>
      <c r="F69" s="1">
        <v>-1.2500000000000001E-2</v>
      </c>
    </row>
    <row r="70" spans="1:6" x14ac:dyDescent="0.35">
      <c r="A70" s="2" t="s">
        <v>805</v>
      </c>
      <c r="B70" s="2">
        <v>449.55</v>
      </c>
      <c r="C70" s="2">
        <v>450.05</v>
      </c>
      <c r="D70" s="2">
        <v>450.08</v>
      </c>
      <c r="E70" s="2">
        <v>450.05</v>
      </c>
      <c r="F70" s="1">
        <v>0</v>
      </c>
    </row>
    <row r="71" spans="1:6" x14ac:dyDescent="0.35">
      <c r="A71" s="2" t="s">
        <v>782</v>
      </c>
      <c r="B71" s="2">
        <v>459.97</v>
      </c>
      <c r="C71" s="2">
        <v>460.42</v>
      </c>
      <c r="D71" s="2">
        <v>460.47</v>
      </c>
      <c r="E71" s="2">
        <v>460.4</v>
      </c>
      <c r="F71" s="1">
        <v>1E-4</v>
      </c>
    </row>
    <row r="72" spans="1:6" x14ac:dyDescent="0.35">
      <c r="A72" s="2" t="s">
        <v>762</v>
      </c>
      <c r="B72" s="2">
        <v>460.02</v>
      </c>
      <c r="C72" s="2">
        <v>460.49</v>
      </c>
      <c r="D72" s="2">
        <v>460.52</v>
      </c>
      <c r="E72" s="2">
        <v>460.48</v>
      </c>
      <c r="F72" s="1">
        <v>1E-4</v>
      </c>
    </row>
    <row r="73" spans="1:6" x14ac:dyDescent="0.35">
      <c r="A73" s="2" t="s">
        <v>719</v>
      </c>
      <c r="B73" s="2">
        <v>459.94</v>
      </c>
      <c r="C73" s="2">
        <v>460.5</v>
      </c>
      <c r="D73" s="2">
        <v>460.52</v>
      </c>
      <c r="E73" s="2">
        <v>460.44</v>
      </c>
      <c r="F73" s="1">
        <v>-1E-4</v>
      </c>
    </row>
    <row r="74" spans="1:6" x14ac:dyDescent="0.35">
      <c r="A74" s="2" t="s">
        <v>696</v>
      </c>
      <c r="B74" s="2">
        <v>461.9</v>
      </c>
      <c r="C74" s="2">
        <v>462.17</v>
      </c>
      <c r="D74" s="2">
        <v>466</v>
      </c>
      <c r="E74" s="2">
        <v>462.17</v>
      </c>
      <c r="F74" s="1">
        <v>5.0000000000000001E-4</v>
      </c>
    </row>
    <row r="75" spans="1:6" x14ac:dyDescent="0.35">
      <c r="A75" s="2" t="s">
        <v>653</v>
      </c>
      <c r="B75" s="2">
        <v>767.77</v>
      </c>
      <c r="C75" s="2">
        <v>762.94</v>
      </c>
      <c r="D75" s="2">
        <v>769.27</v>
      </c>
      <c r="E75" s="2">
        <v>762.94</v>
      </c>
      <c r="F75" s="1">
        <v>8.3000000000000001E-3</v>
      </c>
    </row>
    <row r="76" spans="1:6" x14ac:dyDescent="0.35">
      <c r="A76" s="2" t="s">
        <v>610</v>
      </c>
      <c r="B76" s="2">
        <v>758.71</v>
      </c>
      <c r="C76" s="2">
        <v>772.04</v>
      </c>
      <c r="D76" s="2">
        <v>772.04</v>
      </c>
      <c r="E76" s="2">
        <v>759.21</v>
      </c>
      <c r="F76" s="1">
        <v>-1.66E-2</v>
      </c>
    </row>
    <row r="77" spans="1:6" x14ac:dyDescent="0.35">
      <c r="A77" s="2" t="s">
        <v>587</v>
      </c>
      <c r="B77" s="2">
        <v>802</v>
      </c>
      <c r="C77" s="2">
        <v>803.3</v>
      </c>
      <c r="D77" s="2">
        <v>803.4</v>
      </c>
      <c r="E77" s="2">
        <v>802.9</v>
      </c>
      <c r="F77" s="1">
        <v>-1E-3</v>
      </c>
    </row>
    <row r="78" spans="1:6" x14ac:dyDescent="0.35">
      <c r="A78" s="2" t="s">
        <v>804</v>
      </c>
      <c r="B78" s="2">
        <v>449.58</v>
      </c>
      <c r="C78" s="2">
        <v>450.05</v>
      </c>
      <c r="D78" s="2">
        <v>450.08</v>
      </c>
      <c r="E78" s="2">
        <v>450.05</v>
      </c>
      <c r="F78" s="1">
        <v>1E-4</v>
      </c>
    </row>
    <row r="79" spans="1:6" x14ac:dyDescent="0.35">
      <c r="A79" s="2" t="s">
        <v>781</v>
      </c>
      <c r="B79" s="2">
        <v>458.99</v>
      </c>
      <c r="C79" s="2">
        <v>460.47</v>
      </c>
      <c r="D79" s="2">
        <v>460.47</v>
      </c>
      <c r="E79" s="2">
        <v>459.49</v>
      </c>
      <c r="F79" s="1">
        <v>-2.0999999999999999E-3</v>
      </c>
    </row>
    <row r="80" spans="1:6" x14ac:dyDescent="0.35">
      <c r="A80" s="2" t="s">
        <v>761</v>
      </c>
      <c r="B80" s="2">
        <v>460.02</v>
      </c>
      <c r="C80" s="2">
        <v>460.52</v>
      </c>
      <c r="D80" s="2">
        <v>460.55</v>
      </c>
      <c r="E80" s="2">
        <v>460.52</v>
      </c>
      <c r="F80" s="1">
        <v>0</v>
      </c>
    </row>
    <row r="81" spans="1:6" x14ac:dyDescent="0.35">
      <c r="A81" s="2" t="s">
        <v>740</v>
      </c>
      <c r="B81" s="2">
        <v>459.83</v>
      </c>
      <c r="C81" s="2">
        <v>460.33</v>
      </c>
      <c r="D81" s="2">
        <v>460.33</v>
      </c>
      <c r="E81" s="2">
        <v>460.32</v>
      </c>
      <c r="F81" s="1">
        <v>0</v>
      </c>
    </row>
    <row r="82" spans="1:6" x14ac:dyDescent="0.35">
      <c r="A82" s="2" t="s">
        <v>718</v>
      </c>
      <c r="B82" s="2">
        <v>460.06</v>
      </c>
      <c r="C82" s="2">
        <v>460.44</v>
      </c>
      <c r="D82" s="2">
        <v>460.56</v>
      </c>
      <c r="E82" s="2">
        <v>460.43</v>
      </c>
      <c r="F82" s="1">
        <v>2.9999999999999997E-4</v>
      </c>
    </row>
    <row r="83" spans="1:6" x14ac:dyDescent="0.35">
      <c r="A83" s="2" t="s">
        <v>675</v>
      </c>
      <c r="B83" s="2">
        <v>789</v>
      </c>
      <c r="C83" s="2">
        <v>768.5</v>
      </c>
      <c r="D83" s="2">
        <v>790</v>
      </c>
      <c r="E83" s="2">
        <v>768.5</v>
      </c>
      <c r="F83" s="1">
        <v>2.7300000000000001E-2</v>
      </c>
    </row>
    <row r="84" spans="1:6" x14ac:dyDescent="0.35">
      <c r="A84" s="2" t="s">
        <v>652</v>
      </c>
      <c r="B84" s="2">
        <v>767.77</v>
      </c>
      <c r="C84" s="2">
        <v>769.27</v>
      </c>
      <c r="D84" s="2">
        <v>769.27</v>
      </c>
      <c r="E84" s="2">
        <v>769.27</v>
      </c>
      <c r="F84" s="1">
        <v>0</v>
      </c>
    </row>
    <row r="85" spans="1:6" x14ac:dyDescent="0.35">
      <c r="A85" s="2" t="s">
        <v>609</v>
      </c>
      <c r="B85" s="2">
        <v>763.03</v>
      </c>
      <c r="C85" s="2">
        <v>759.21</v>
      </c>
      <c r="D85" s="2">
        <v>776.5</v>
      </c>
      <c r="E85" s="2">
        <v>759.21</v>
      </c>
      <c r="F85" s="1">
        <v>5.7000000000000002E-3</v>
      </c>
    </row>
    <row r="86" spans="1:6" x14ac:dyDescent="0.35">
      <c r="A86" s="2" t="s">
        <v>586</v>
      </c>
      <c r="B86" s="2">
        <v>802</v>
      </c>
      <c r="C86" s="2">
        <v>803</v>
      </c>
      <c r="D86" s="2">
        <v>803</v>
      </c>
      <c r="E86" s="2">
        <v>803</v>
      </c>
      <c r="F86" s="1">
        <v>0</v>
      </c>
    </row>
    <row r="87" spans="1:6" x14ac:dyDescent="0.35">
      <c r="A87" s="2" t="s">
        <v>803</v>
      </c>
      <c r="B87" s="2">
        <v>451.1</v>
      </c>
      <c r="C87" s="2">
        <v>450.08</v>
      </c>
      <c r="D87" s="2">
        <v>451.6</v>
      </c>
      <c r="E87" s="2">
        <v>450.08</v>
      </c>
      <c r="F87" s="1">
        <v>3.3999999999999998E-3</v>
      </c>
    </row>
    <row r="88" spans="1:6" x14ac:dyDescent="0.35">
      <c r="A88" s="2" t="s">
        <v>739</v>
      </c>
      <c r="B88" s="2">
        <v>459.83</v>
      </c>
      <c r="C88" s="2">
        <v>460.33</v>
      </c>
      <c r="D88" s="2">
        <v>460.5</v>
      </c>
      <c r="E88" s="2">
        <v>460.33</v>
      </c>
      <c r="F88" s="1">
        <v>0</v>
      </c>
    </row>
    <row r="89" spans="1:6" x14ac:dyDescent="0.35">
      <c r="A89" s="2" t="s">
        <v>717</v>
      </c>
      <c r="B89" s="2">
        <v>460.07</v>
      </c>
      <c r="C89" s="2">
        <v>460.56</v>
      </c>
      <c r="D89" s="2">
        <v>462.5</v>
      </c>
      <c r="E89" s="2">
        <v>460.55</v>
      </c>
      <c r="F89" s="1">
        <v>0</v>
      </c>
    </row>
    <row r="90" spans="1:6" x14ac:dyDescent="0.35">
      <c r="A90" s="2" t="s">
        <v>674</v>
      </c>
      <c r="B90" s="2">
        <v>779</v>
      </c>
      <c r="C90" s="2">
        <v>787.65</v>
      </c>
      <c r="D90" s="2">
        <v>790.5</v>
      </c>
      <c r="E90" s="2">
        <v>760.5</v>
      </c>
      <c r="F90" s="1">
        <v>-1.2699999999999999E-2</v>
      </c>
    </row>
    <row r="91" spans="1:6" x14ac:dyDescent="0.35">
      <c r="A91" s="2" t="s">
        <v>651</v>
      </c>
      <c r="B91" s="2">
        <v>767.77</v>
      </c>
      <c r="C91" s="2">
        <v>769.27</v>
      </c>
      <c r="D91" s="2">
        <v>769.27</v>
      </c>
      <c r="E91" s="2">
        <v>769.27</v>
      </c>
      <c r="F91" s="1">
        <v>0</v>
      </c>
    </row>
    <row r="92" spans="1:6" x14ac:dyDescent="0.35">
      <c r="A92" s="2" t="s">
        <v>630</v>
      </c>
      <c r="B92" s="2">
        <v>737.54</v>
      </c>
      <c r="C92" s="2">
        <v>750.5</v>
      </c>
      <c r="D92" s="2">
        <v>755</v>
      </c>
      <c r="E92" s="2">
        <v>738.04</v>
      </c>
      <c r="F92" s="1">
        <v>-6.5199999999999994E-2</v>
      </c>
    </row>
    <row r="93" spans="1:6" x14ac:dyDescent="0.35">
      <c r="A93" s="2" t="s">
        <v>608</v>
      </c>
      <c r="B93" s="2">
        <v>759.49</v>
      </c>
      <c r="C93" s="2">
        <v>763.53</v>
      </c>
      <c r="D93" s="2">
        <v>775.5</v>
      </c>
      <c r="E93" s="2">
        <v>759.99</v>
      </c>
      <c r="F93" s="1">
        <v>-4.5999999999999999E-3</v>
      </c>
    </row>
    <row r="94" spans="1:6" x14ac:dyDescent="0.35">
      <c r="A94" s="2" t="s">
        <v>565</v>
      </c>
      <c r="B94" s="2">
        <v>790</v>
      </c>
      <c r="C94" s="2">
        <v>791</v>
      </c>
      <c r="D94" s="2">
        <v>802.5</v>
      </c>
      <c r="E94" s="2">
        <v>789.5</v>
      </c>
      <c r="F94" s="1">
        <v>0</v>
      </c>
    </row>
    <row r="95" spans="1:6" x14ac:dyDescent="0.35">
      <c r="A95" s="2" t="s">
        <v>802</v>
      </c>
      <c r="B95" s="2">
        <v>451.63</v>
      </c>
      <c r="C95" s="2">
        <v>451.6</v>
      </c>
      <c r="D95" s="2">
        <v>452.13</v>
      </c>
      <c r="E95" s="2">
        <v>451.6</v>
      </c>
      <c r="F95" s="1">
        <v>1.1999999999999999E-3</v>
      </c>
    </row>
    <row r="96" spans="1:6" x14ac:dyDescent="0.35">
      <c r="A96" s="2" t="s">
        <v>738</v>
      </c>
      <c r="B96" s="2">
        <v>459.83</v>
      </c>
      <c r="C96" s="2">
        <v>460.33</v>
      </c>
      <c r="D96" s="2">
        <v>460.33</v>
      </c>
      <c r="E96" s="2">
        <v>460.33</v>
      </c>
      <c r="F96" s="1">
        <v>0</v>
      </c>
    </row>
    <row r="97" spans="1:6" x14ac:dyDescent="0.35">
      <c r="A97" s="2" t="s">
        <v>716</v>
      </c>
      <c r="B97" s="2">
        <v>460.03</v>
      </c>
      <c r="C97" s="2">
        <v>460.57</v>
      </c>
      <c r="D97" s="2">
        <v>460.57</v>
      </c>
      <c r="E97" s="2">
        <v>460.53</v>
      </c>
      <c r="F97" s="1">
        <v>-1E-4</v>
      </c>
    </row>
    <row r="98" spans="1:6" x14ac:dyDescent="0.35">
      <c r="A98" s="2" t="s">
        <v>695</v>
      </c>
      <c r="B98" s="2">
        <v>461.9</v>
      </c>
      <c r="C98" s="2">
        <v>462.4</v>
      </c>
      <c r="D98" s="2">
        <v>462.45</v>
      </c>
      <c r="E98" s="2">
        <v>462.4</v>
      </c>
      <c r="F98" s="1">
        <v>0</v>
      </c>
    </row>
    <row r="99" spans="1:6" x14ac:dyDescent="0.35">
      <c r="A99" s="2" t="s">
        <v>673</v>
      </c>
      <c r="B99" s="2">
        <v>775</v>
      </c>
      <c r="C99" s="2">
        <v>780.5</v>
      </c>
      <c r="D99" s="2">
        <v>790.5</v>
      </c>
      <c r="E99" s="2">
        <v>760</v>
      </c>
      <c r="F99" s="1">
        <v>-5.1000000000000004E-3</v>
      </c>
    </row>
    <row r="100" spans="1:6" x14ac:dyDescent="0.35">
      <c r="A100" s="2" t="s">
        <v>629</v>
      </c>
      <c r="B100" s="2">
        <v>770.33</v>
      </c>
      <c r="C100" s="2">
        <v>738.04</v>
      </c>
      <c r="D100" s="2">
        <v>770.83</v>
      </c>
      <c r="E100" s="2">
        <v>738.04</v>
      </c>
      <c r="F100" s="1">
        <v>4.4499999999999998E-2</v>
      </c>
    </row>
    <row r="101" spans="1:6" x14ac:dyDescent="0.35">
      <c r="A101" s="2" t="s">
        <v>607</v>
      </c>
      <c r="B101" s="2">
        <v>768</v>
      </c>
      <c r="C101" s="2">
        <v>759.99</v>
      </c>
      <c r="D101" s="2">
        <v>769.05</v>
      </c>
      <c r="E101" s="2">
        <v>759.99</v>
      </c>
      <c r="F101" s="1">
        <v>1.12E-2</v>
      </c>
    </row>
    <row r="102" spans="1:6" x14ac:dyDescent="0.35">
      <c r="A102" s="2" t="s">
        <v>564</v>
      </c>
      <c r="B102" s="2">
        <v>801.45</v>
      </c>
      <c r="C102" s="2">
        <v>791</v>
      </c>
      <c r="D102" s="2">
        <v>803.22500000000002</v>
      </c>
      <c r="E102" s="2">
        <v>789.5</v>
      </c>
      <c r="F102" s="1">
        <v>1.4500000000000001E-2</v>
      </c>
    </row>
    <row r="103" spans="1:6" x14ac:dyDescent="0.35">
      <c r="A103" s="2" t="s">
        <v>550</v>
      </c>
      <c r="B103" s="2">
        <v>881.03</v>
      </c>
      <c r="C103" s="2">
        <v>882.03</v>
      </c>
      <c r="D103" s="2">
        <v>882.03</v>
      </c>
      <c r="E103" s="2">
        <v>882.03</v>
      </c>
      <c r="F103" s="1">
        <v>0</v>
      </c>
    </row>
    <row r="104" spans="1:6" x14ac:dyDescent="0.35">
      <c r="A104" s="2" t="s">
        <v>527</v>
      </c>
      <c r="B104" s="2">
        <v>1356.38</v>
      </c>
      <c r="C104" s="2">
        <v>1192.94</v>
      </c>
      <c r="D104" s="2">
        <v>1358.7</v>
      </c>
      <c r="E104" s="2">
        <v>1100.5</v>
      </c>
      <c r="F104" s="1">
        <v>0.13800000000000001</v>
      </c>
    </row>
    <row r="105" spans="1:6" x14ac:dyDescent="0.35">
      <c r="A105" s="2" t="s">
        <v>506</v>
      </c>
      <c r="B105" s="2">
        <v>1545</v>
      </c>
      <c r="C105" s="2">
        <v>1617.55</v>
      </c>
      <c r="D105" s="2">
        <v>1617.55</v>
      </c>
      <c r="E105" s="2">
        <v>1300.5</v>
      </c>
      <c r="F105" s="1">
        <v>-4.4299999999999999E-2</v>
      </c>
    </row>
    <row r="106" spans="1:6" x14ac:dyDescent="0.35">
      <c r="A106" s="2" t="s">
        <v>485</v>
      </c>
      <c r="B106" s="2">
        <v>1303.3399999999999</v>
      </c>
      <c r="C106" s="2">
        <v>1304.3399999999999</v>
      </c>
      <c r="D106" s="2">
        <v>1304.3399999999999</v>
      </c>
      <c r="E106" s="2">
        <v>1304.3399999999999</v>
      </c>
      <c r="F106" s="1">
        <v>2.9999999999999997E-4</v>
      </c>
    </row>
    <row r="107" spans="1:6" x14ac:dyDescent="0.35">
      <c r="A107" s="2" t="s">
        <v>463</v>
      </c>
      <c r="B107" s="2">
        <v>1389</v>
      </c>
      <c r="C107" s="2">
        <v>1390</v>
      </c>
      <c r="D107" s="2">
        <v>1394.26</v>
      </c>
      <c r="E107" s="2">
        <v>1390</v>
      </c>
      <c r="F107" s="1">
        <v>0</v>
      </c>
    </row>
    <row r="108" spans="1:6" x14ac:dyDescent="0.35">
      <c r="A108" s="2" t="s">
        <v>420</v>
      </c>
      <c r="B108" s="2">
        <v>1525</v>
      </c>
      <c r="C108" s="2">
        <v>1513.73</v>
      </c>
      <c r="D108" s="2">
        <v>1533.865</v>
      </c>
      <c r="E108" s="2">
        <v>1465.845</v>
      </c>
      <c r="F108" s="1">
        <v>0</v>
      </c>
    </row>
    <row r="109" spans="1:6" x14ac:dyDescent="0.35">
      <c r="A109" s="2" t="s">
        <v>397</v>
      </c>
      <c r="B109" s="2">
        <v>1660</v>
      </c>
      <c r="C109" s="2">
        <v>1660</v>
      </c>
      <c r="D109" s="2">
        <v>1665</v>
      </c>
      <c r="E109" s="2">
        <v>1608.46</v>
      </c>
      <c r="F109" s="1">
        <v>0</v>
      </c>
    </row>
    <row r="110" spans="1:6" x14ac:dyDescent="0.35">
      <c r="A110" s="2" t="s">
        <v>354</v>
      </c>
      <c r="B110" s="2">
        <v>1668.97</v>
      </c>
      <c r="C110" s="2">
        <v>1668.97</v>
      </c>
      <c r="D110" s="2">
        <v>1673.4849999999999</v>
      </c>
      <c r="E110" s="2">
        <v>1601.53</v>
      </c>
      <c r="F110" s="1">
        <v>0</v>
      </c>
    </row>
    <row r="111" spans="1:6" x14ac:dyDescent="0.35">
      <c r="A111" s="2" t="s">
        <v>331</v>
      </c>
      <c r="B111" s="2">
        <v>1643.26</v>
      </c>
      <c r="C111" s="2">
        <v>1643.26</v>
      </c>
      <c r="D111" s="2">
        <v>1664.39</v>
      </c>
      <c r="E111" s="2">
        <v>1635.22</v>
      </c>
      <c r="F111" s="1">
        <v>0</v>
      </c>
    </row>
    <row r="112" spans="1:6" x14ac:dyDescent="0.35">
      <c r="A112" s="2" t="s">
        <v>549</v>
      </c>
      <c r="B112" s="2">
        <v>883</v>
      </c>
      <c r="C112" s="2">
        <v>882.03</v>
      </c>
      <c r="D112" s="2">
        <v>897.5</v>
      </c>
      <c r="E112" s="2">
        <v>882.03</v>
      </c>
      <c r="F112" s="1">
        <v>2.2000000000000001E-3</v>
      </c>
    </row>
    <row r="113" spans="1:6" x14ac:dyDescent="0.35">
      <c r="A113" s="2" t="s">
        <v>526</v>
      </c>
      <c r="B113" s="2">
        <v>1413.12</v>
      </c>
      <c r="C113" s="2">
        <v>1357.38</v>
      </c>
      <c r="D113" s="2">
        <v>1414.12</v>
      </c>
      <c r="E113" s="2">
        <v>950.5</v>
      </c>
      <c r="F113" s="1">
        <v>4.1799999999999997E-2</v>
      </c>
    </row>
    <row r="114" spans="1:6" x14ac:dyDescent="0.35">
      <c r="A114" s="2" t="s">
        <v>484</v>
      </c>
      <c r="B114" s="2">
        <v>1280</v>
      </c>
      <c r="C114" s="2">
        <v>1304.3399999999999</v>
      </c>
      <c r="D114" s="2">
        <v>1450</v>
      </c>
      <c r="E114" s="2">
        <v>1266</v>
      </c>
      <c r="F114" s="1">
        <v>-1.7899999999999999E-2</v>
      </c>
    </row>
    <row r="115" spans="1:6" x14ac:dyDescent="0.35">
      <c r="A115" s="2" t="s">
        <v>462</v>
      </c>
      <c r="B115" s="2">
        <v>1349.9</v>
      </c>
      <c r="C115" s="2">
        <v>1390.52</v>
      </c>
      <c r="D115" s="2">
        <v>1397.26</v>
      </c>
      <c r="E115" s="2">
        <v>1350.9</v>
      </c>
      <c r="F115" s="1">
        <v>-2.81E-2</v>
      </c>
    </row>
    <row r="116" spans="1:6" x14ac:dyDescent="0.35">
      <c r="A116" s="2" t="s">
        <v>419</v>
      </c>
      <c r="B116" s="2">
        <v>1535</v>
      </c>
      <c r="C116" s="2">
        <v>1525</v>
      </c>
      <c r="D116" s="2">
        <v>1535</v>
      </c>
      <c r="E116" s="2">
        <v>1470.345</v>
      </c>
      <c r="F116" s="1">
        <v>6.6E-3</v>
      </c>
    </row>
    <row r="117" spans="1:6" x14ac:dyDescent="0.35">
      <c r="A117" s="2" t="s">
        <v>396</v>
      </c>
      <c r="B117" s="2">
        <v>1580</v>
      </c>
      <c r="C117" s="2">
        <v>1660</v>
      </c>
      <c r="D117" s="2">
        <v>1662.5</v>
      </c>
      <c r="E117" s="2">
        <v>1580</v>
      </c>
      <c r="F117" s="1">
        <v>-4.82E-2</v>
      </c>
    </row>
    <row r="118" spans="1:6" x14ac:dyDescent="0.35">
      <c r="A118" s="2" t="s">
        <v>375</v>
      </c>
      <c r="B118" s="2">
        <v>1590</v>
      </c>
      <c r="C118" s="2">
        <v>1598.64</v>
      </c>
      <c r="D118" s="2">
        <v>1606.32</v>
      </c>
      <c r="E118" s="2">
        <v>1582.32</v>
      </c>
      <c r="F118" s="1">
        <v>0</v>
      </c>
    </row>
    <row r="119" spans="1:6" x14ac:dyDescent="0.35">
      <c r="A119" s="2" t="s">
        <v>353</v>
      </c>
      <c r="B119" s="2">
        <v>1668.97</v>
      </c>
      <c r="C119" s="2">
        <v>1668.97</v>
      </c>
      <c r="D119" s="2">
        <v>1668.97</v>
      </c>
      <c r="E119" s="2">
        <v>1601.53</v>
      </c>
      <c r="F119" s="1">
        <v>0</v>
      </c>
    </row>
    <row r="120" spans="1:6" x14ac:dyDescent="0.35">
      <c r="A120" s="2" t="s">
        <v>310</v>
      </c>
      <c r="B120" s="2">
        <v>1660.92</v>
      </c>
      <c r="C120" s="2">
        <v>1682.89</v>
      </c>
      <c r="D120" s="2">
        <v>1700</v>
      </c>
      <c r="E120" s="2">
        <v>1652.7</v>
      </c>
      <c r="F120" s="1">
        <v>-6.0000000000000001E-3</v>
      </c>
    </row>
    <row r="121" spans="1:6" x14ac:dyDescent="0.35">
      <c r="A121" s="2" t="s">
        <v>548</v>
      </c>
      <c r="B121" s="2">
        <v>890.9</v>
      </c>
      <c r="C121" s="2">
        <v>884.8</v>
      </c>
      <c r="D121" s="2">
        <v>891.9</v>
      </c>
      <c r="E121" s="2">
        <v>884.4</v>
      </c>
      <c r="F121" s="1">
        <v>8.8999999999999999E-3</v>
      </c>
    </row>
    <row r="122" spans="1:6" x14ac:dyDescent="0.35">
      <c r="A122" s="2" t="s">
        <v>483</v>
      </c>
      <c r="B122" s="2">
        <v>1350</v>
      </c>
      <c r="C122" s="2">
        <v>1281</v>
      </c>
      <c r="D122" s="2">
        <v>1365</v>
      </c>
      <c r="E122" s="2">
        <v>1230</v>
      </c>
      <c r="F122" s="1">
        <v>5.4699999999999999E-2</v>
      </c>
    </row>
    <row r="123" spans="1:6" x14ac:dyDescent="0.35">
      <c r="A123" s="2" t="s">
        <v>461</v>
      </c>
      <c r="B123" s="2">
        <v>1379</v>
      </c>
      <c r="C123" s="2">
        <v>1350.9</v>
      </c>
      <c r="D123" s="2">
        <v>1405</v>
      </c>
      <c r="E123" s="2">
        <v>1345.95</v>
      </c>
      <c r="F123" s="1">
        <v>2.1600000000000001E-2</v>
      </c>
    </row>
    <row r="124" spans="1:6" x14ac:dyDescent="0.35">
      <c r="A124" s="2" t="s">
        <v>440</v>
      </c>
      <c r="B124" s="2">
        <v>1482</v>
      </c>
      <c r="C124" s="2">
        <v>1485</v>
      </c>
      <c r="D124" s="2">
        <v>1507</v>
      </c>
      <c r="E124" s="2">
        <v>1462.24</v>
      </c>
      <c r="F124" s="1">
        <v>-1.2999999999999999E-3</v>
      </c>
    </row>
    <row r="125" spans="1:6" x14ac:dyDescent="0.35">
      <c r="A125" s="2" t="s">
        <v>418</v>
      </c>
      <c r="B125" s="2">
        <v>1535</v>
      </c>
      <c r="C125" s="2">
        <v>1535</v>
      </c>
      <c r="D125" s="2">
        <v>1537.925</v>
      </c>
      <c r="E125" s="2">
        <v>1474</v>
      </c>
      <c r="F125" s="1">
        <v>0</v>
      </c>
    </row>
    <row r="126" spans="1:6" x14ac:dyDescent="0.35">
      <c r="A126" s="2" t="s">
        <v>374</v>
      </c>
      <c r="B126" s="2">
        <v>1590</v>
      </c>
      <c r="C126" s="2">
        <v>1590</v>
      </c>
      <c r="D126" s="2">
        <v>1610</v>
      </c>
      <c r="E126" s="2">
        <v>1582.135</v>
      </c>
      <c r="F126" s="1">
        <v>0</v>
      </c>
    </row>
    <row r="127" spans="1:6" x14ac:dyDescent="0.35">
      <c r="A127" s="2" t="s">
        <v>352</v>
      </c>
      <c r="B127" s="2">
        <v>1645</v>
      </c>
      <c r="C127" s="2">
        <v>1668.97</v>
      </c>
      <c r="D127" s="2">
        <v>1690.0550000000001</v>
      </c>
      <c r="E127" s="2">
        <v>1601.53</v>
      </c>
      <c r="F127" s="1">
        <v>-1.44E-2</v>
      </c>
    </row>
    <row r="128" spans="1:6" x14ac:dyDescent="0.35">
      <c r="A128" s="2" t="s">
        <v>309</v>
      </c>
      <c r="B128" s="2">
        <v>1648.36</v>
      </c>
      <c r="C128" s="2">
        <v>1672.92</v>
      </c>
      <c r="D128" s="2">
        <v>1682.09</v>
      </c>
      <c r="E128" s="2">
        <v>1640</v>
      </c>
      <c r="F128" s="1">
        <v>-7.6E-3</v>
      </c>
    </row>
    <row r="129" spans="1:6" x14ac:dyDescent="0.35">
      <c r="A129" s="2" t="s">
        <v>547</v>
      </c>
      <c r="B129" s="2">
        <v>911.44</v>
      </c>
      <c r="C129" s="2">
        <v>891.9</v>
      </c>
      <c r="D129" s="2">
        <v>912.44</v>
      </c>
      <c r="E129" s="2">
        <v>884.5</v>
      </c>
      <c r="F129" s="1">
        <v>2.3099999999999999E-2</v>
      </c>
    </row>
    <row r="130" spans="1:6" x14ac:dyDescent="0.35">
      <c r="A130" s="2" t="s">
        <v>505</v>
      </c>
      <c r="B130" s="2">
        <v>1543.58</v>
      </c>
      <c r="C130" s="2">
        <v>1544.58</v>
      </c>
      <c r="D130" s="2">
        <v>1544.58</v>
      </c>
      <c r="E130" s="2">
        <v>1380.5</v>
      </c>
      <c r="F130" s="1">
        <v>-8.9999999999999998E-4</v>
      </c>
    </row>
    <row r="131" spans="1:6" x14ac:dyDescent="0.35">
      <c r="A131" s="2" t="s">
        <v>482</v>
      </c>
      <c r="B131" s="2">
        <v>1350</v>
      </c>
      <c r="C131" s="2">
        <v>1350</v>
      </c>
      <c r="D131" s="2">
        <v>1365</v>
      </c>
      <c r="E131" s="2">
        <v>1251</v>
      </c>
      <c r="F131" s="1">
        <v>0</v>
      </c>
    </row>
    <row r="132" spans="1:6" x14ac:dyDescent="0.35">
      <c r="A132" s="2" t="s">
        <v>439</v>
      </c>
      <c r="B132" s="2">
        <v>1500</v>
      </c>
      <c r="C132" s="2">
        <v>1483.48</v>
      </c>
      <c r="D132" s="2">
        <v>1516.24</v>
      </c>
      <c r="E132" s="2">
        <v>1450.4</v>
      </c>
      <c r="F132" s="1">
        <v>1.21E-2</v>
      </c>
    </row>
    <row r="133" spans="1:6" x14ac:dyDescent="0.35">
      <c r="A133" s="2" t="s">
        <v>417</v>
      </c>
      <c r="B133" s="2">
        <v>1535</v>
      </c>
      <c r="C133" s="2">
        <v>1535</v>
      </c>
      <c r="D133" s="2">
        <v>1537.925</v>
      </c>
      <c r="E133" s="2">
        <v>1502.925</v>
      </c>
      <c r="F133" s="1">
        <v>0</v>
      </c>
    </row>
    <row r="134" spans="1:6" x14ac:dyDescent="0.35">
      <c r="A134" s="2" t="s">
        <v>373</v>
      </c>
      <c r="B134" s="2">
        <v>1605</v>
      </c>
      <c r="C134" s="2">
        <v>1590</v>
      </c>
      <c r="D134" s="2">
        <v>1617.5</v>
      </c>
      <c r="E134" s="2">
        <v>1580.5350000000001</v>
      </c>
      <c r="F134" s="1">
        <v>9.4000000000000004E-3</v>
      </c>
    </row>
    <row r="135" spans="1:6" x14ac:dyDescent="0.35">
      <c r="A135" s="2" t="s">
        <v>351</v>
      </c>
      <c r="B135" s="2">
        <v>1620</v>
      </c>
      <c r="C135" s="2">
        <v>1645</v>
      </c>
      <c r="D135" s="2">
        <v>1663.5550000000001</v>
      </c>
      <c r="E135" s="2">
        <v>1605</v>
      </c>
      <c r="F135" s="1">
        <v>-1.52E-2</v>
      </c>
    </row>
    <row r="136" spans="1:6" x14ac:dyDescent="0.35">
      <c r="A136" s="2" t="s">
        <v>330</v>
      </c>
      <c r="B136" s="2">
        <v>1643.26</v>
      </c>
      <c r="C136" s="2">
        <v>1651.44</v>
      </c>
      <c r="D136" s="2">
        <v>1697.5</v>
      </c>
      <c r="E136" s="2">
        <v>1634.13</v>
      </c>
      <c r="F136" s="1">
        <v>0</v>
      </c>
    </row>
    <row r="137" spans="1:6" x14ac:dyDescent="0.35">
      <c r="A137" s="2" t="s">
        <v>308</v>
      </c>
      <c r="B137" s="2">
        <v>1618.62</v>
      </c>
      <c r="C137" s="2">
        <v>1658.36</v>
      </c>
      <c r="D137" s="2">
        <v>1680.26</v>
      </c>
      <c r="E137" s="2">
        <v>1612.5</v>
      </c>
      <c r="F137" s="1">
        <v>-1.7999999999999999E-2</v>
      </c>
    </row>
    <row r="138" spans="1:6" x14ac:dyDescent="0.35">
      <c r="A138" s="2" t="s">
        <v>546</v>
      </c>
      <c r="B138" s="2">
        <v>913</v>
      </c>
      <c r="C138" s="2">
        <v>912.44</v>
      </c>
      <c r="D138" s="2">
        <v>914.71500000000003</v>
      </c>
      <c r="E138" s="2">
        <v>884.5</v>
      </c>
      <c r="F138" s="1">
        <v>1.6999999999999999E-3</v>
      </c>
    </row>
    <row r="139" spans="1:6" x14ac:dyDescent="0.35">
      <c r="A139" s="2" t="s">
        <v>525</v>
      </c>
      <c r="B139" s="2">
        <v>1420.02</v>
      </c>
      <c r="C139" s="2">
        <v>1414.12</v>
      </c>
      <c r="D139" s="2">
        <v>1421.02</v>
      </c>
      <c r="E139" s="2">
        <v>1100.5</v>
      </c>
      <c r="F139" s="1">
        <v>4.8999999999999998E-3</v>
      </c>
    </row>
    <row r="140" spans="1:6" x14ac:dyDescent="0.35">
      <c r="A140" s="2" t="s">
        <v>504</v>
      </c>
      <c r="B140" s="2">
        <v>1560.01</v>
      </c>
      <c r="C140" s="2">
        <v>1544.58</v>
      </c>
      <c r="D140" s="2">
        <v>1561.01</v>
      </c>
      <c r="E140" s="2">
        <v>1500.5</v>
      </c>
      <c r="F140" s="1">
        <v>1.06E-2</v>
      </c>
    </row>
    <row r="141" spans="1:6" x14ac:dyDescent="0.35">
      <c r="A141" s="2" t="s">
        <v>481</v>
      </c>
      <c r="B141" s="2">
        <v>1244.5</v>
      </c>
      <c r="C141" s="2">
        <v>1350</v>
      </c>
      <c r="D141" s="2">
        <v>1354.9949999999999</v>
      </c>
      <c r="E141" s="2">
        <v>1237</v>
      </c>
      <c r="F141" s="1">
        <v>-7.8100000000000003E-2</v>
      </c>
    </row>
    <row r="142" spans="1:6" x14ac:dyDescent="0.35">
      <c r="A142" s="2" t="s">
        <v>438</v>
      </c>
      <c r="B142" s="2">
        <v>1500</v>
      </c>
      <c r="C142" s="2">
        <v>1500</v>
      </c>
      <c r="D142" s="2">
        <v>1516</v>
      </c>
      <c r="E142" s="2">
        <v>1450.8</v>
      </c>
      <c r="F142" s="1">
        <v>0</v>
      </c>
    </row>
    <row r="143" spans="1:6" x14ac:dyDescent="0.35">
      <c r="A143" s="2" t="s">
        <v>416</v>
      </c>
      <c r="B143" s="2">
        <v>1535</v>
      </c>
      <c r="C143" s="2">
        <v>1535</v>
      </c>
      <c r="D143" s="2">
        <v>1540.175</v>
      </c>
      <c r="E143" s="2">
        <v>1474</v>
      </c>
      <c r="F143" s="1">
        <v>0</v>
      </c>
    </row>
    <row r="144" spans="1:6" x14ac:dyDescent="0.35">
      <c r="A144" s="2" t="s">
        <v>395</v>
      </c>
      <c r="B144" s="2">
        <v>1580</v>
      </c>
      <c r="C144" s="2">
        <v>1580</v>
      </c>
      <c r="D144" s="2">
        <v>1618.355</v>
      </c>
      <c r="E144" s="2">
        <v>1560</v>
      </c>
      <c r="F144" s="1">
        <v>0</v>
      </c>
    </row>
    <row r="145" spans="1:6" x14ac:dyDescent="0.35">
      <c r="A145" s="2" t="s">
        <v>372</v>
      </c>
      <c r="B145" s="2">
        <v>1605</v>
      </c>
      <c r="C145" s="2">
        <v>1605</v>
      </c>
      <c r="D145" s="2">
        <v>1625.375</v>
      </c>
      <c r="E145" s="2">
        <v>1588.0350000000001</v>
      </c>
      <c r="F145" s="1">
        <v>0</v>
      </c>
    </row>
    <row r="146" spans="1:6" x14ac:dyDescent="0.35">
      <c r="A146" s="2" t="s">
        <v>329</v>
      </c>
      <c r="B146" s="2">
        <v>1649.51</v>
      </c>
      <c r="C146" s="2">
        <v>1666.41</v>
      </c>
      <c r="D146" s="2">
        <v>1690.2049999999999</v>
      </c>
      <c r="E146" s="2">
        <v>1638.18</v>
      </c>
      <c r="F146" s="1">
        <v>3.8E-3</v>
      </c>
    </row>
    <row r="147" spans="1:6" x14ac:dyDescent="0.35">
      <c r="A147" s="2" t="s">
        <v>307</v>
      </c>
      <c r="B147" s="2">
        <v>1595.3</v>
      </c>
      <c r="C147" s="2">
        <v>1628.62</v>
      </c>
      <c r="D147" s="2">
        <v>1640.34</v>
      </c>
      <c r="E147" s="2">
        <v>1550</v>
      </c>
      <c r="F147" s="1">
        <v>-1.44E-2</v>
      </c>
    </row>
    <row r="148" spans="1:6" x14ac:dyDescent="0.35">
      <c r="A148" s="2" t="s">
        <v>524</v>
      </c>
      <c r="B148" s="2">
        <v>1407</v>
      </c>
      <c r="C148" s="2">
        <v>1421.02</v>
      </c>
      <c r="D148" s="2">
        <v>1421.02</v>
      </c>
      <c r="E148" s="2">
        <v>1250.5</v>
      </c>
      <c r="F148" s="1">
        <v>-9.1999999999999998E-3</v>
      </c>
    </row>
    <row r="149" spans="1:6" x14ac:dyDescent="0.35">
      <c r="A149" s="2" t="s">
        <v>503</v>
      </c>
      <c r="B149" s="2">
        <v>1590.17</v>
      </c>
      <c r="C149" s="2">
        <v>1561.01</v>
      </c>
      <c r="D149" s="2">
        <v>1592.585</v>
      </c>
      <c r="E149" s="2">
        <v>1560.5</v>
      </c>
      <c r="F149" s="1">
        <v>1.9300000000000001E-2</v>
      </c>
    </row>
    <row r="150" spans="1:6" x14ac:dyDescent="0.35">
      <c r="A150" s="2" t="s">
        <v>460</v>
      </c>
      <c r="B150" s="2">
        <v>1380</v>
      </c>
      <c r="C150" s="2">
        <v>1380</v>
      </c>
      <c r="D150" s="2">
        <v>1406</v>
      </c>
      <c r="E150" s="2">
        <v>1365.5</v>
      </c>
      <c r="F150" s="1">
        <v>6.9999999999999999E-4</v>
      </c>
    </row>
    <row r="151" spans="1:6" x14ac:dyDescent="0.35">
      <c r="A151" s="2" t="s">
        <v>437</v>
      </c>
      <c r="B151" s="2">
        <v>1500</v>
      </c>
      <c r="C151" s="2">
        <v>1500</v>
      </c>
      <c r="D151" s="2">
        <v>1516</v>
      </c>
      <c r="E151" s="2">
        <v>1451</v>
      </c>
      <c r="F151" s="1">
        <v>0</v>
      </c>
    </row>
    <row r="152" spans="1:6" x14ac:dyDescent="0.35">
      <c r="A152" s="2" t="s">
        <v>394</v>
      </c>
      <c r="B152" s="2">
        <v>1580</v>
      </c>
      <c r="C152" s="2">
        <v>1580</v>
      </c>
      <c r="D152" s="2">
        <v>1630.855</v>
      </c>
      <c r="E152" s="2">
        <v>1579.26</v>
      </c>
      <c r="F152" s="1">
        <v>0</v>
      </c>
    </row>
    <row r="153" spans="1:6" x14ac:dyDescent="0.35">
      <c r="A153" s="2" t="s">
        <v>371</v>
      </c>
      <c r="B153" s="2">
        <v>1605</v>
      </c>
      <c r="C153" s="2">
        <v>1605</v>
      </c>
      <c r="D153" s="2">
        <v>1640</v>
      </c>
      <c r="E153" s="2">
        <v>1601.01</v>
      </c>
      <c r="F153" s="1">
        <v>0</v>
      </c>
    </row>
    <row r="154" spans="1:6" x14ac:dyDescent="0.35">
      <c r="A154" s="2" t="s">
        <v>328</v>
      </c>
      <c r="B154" s="2">
        <v>1659.8</v>
      </c>
      <c r="C154" s="2">
        <v>1661.51</v>
      </c>
      <c r="D154" s="2">
        <v>1682.05</v>
      </c>
      <c r="E154" s="2">
        <v>1657.9349999999999</v>
      </c>
      <c r="F154" s="1">
        <v>6.1999999999999998E-3</v>
      </c>
    </row>
    <row r="155" spans="1:6" x14ac:dyDescent="0.35">
      <c r="A155" s="2" t="s">
        <v>306</v>
      </c>
      <c r="B155" s="2">
        <v>1542.5</v>
      </c>
      <c r="C155" s="2">
        <v>1605.3</v>
      </c>
      <c r="D155" s="2">
        <v>1652.73</v>
      </c>
      <c r="E155" s="2">
        <v>1535</v>
      </c>
      <c r="F155" s="1">
        <v>-3.3099999999999997E-2</v>
      </c>
    </row>
    <row r="156" spans="1:6" x14ac:dyDescent="0.35">
      <c r="A156" s="2" t="s">
        <v>523</v>
      </c>
      <c r="B156" s="2">
        <v>1417.13</v>
      </c>
      <c r="C156" s="2">
        <v>1408</v>
      </c>
      <c r="D156" s="2">
        <v>1418.13</v>
      </c>
      <c r="E156" s="2">
        <v>1408</v>
      </c>
      <c r="F156" s="1">
        <v>7.1999999999999998E-3</v>
      </c>
    </row>
    <row r="157" spans="1:6" x14ac:dyDescent="0.35">
      <c r="A157" s="2" t="s">
        <v>502</v>
      </c>
      <c r="B157" s="2">
        <v>1589.14</v>
      </c>
      <c r="C157" s="2">
        <v>1591.17</v>
      </c>
      <c r="D157" s="2">
        <v>1595.5</v>
      </c>
      <c r="E157" s="2">
        <v>1580.25</v>
      </c>
      <c r="F157" s="1">
        <v>-5.9999999999999995E-4</v>
      </c>
    </row>
    <row r="158" spans="1:6" x14ac:dyDescent="0.35">
      <c r="A158" s="2" t="s">
        <v>459</v>
      </c>
      <c r="B158" s="2">
        <v>1384</v>
      </c>
      <c r="C158" s="2">
        <v>1381</v>
      </c>
      <c r="D158" s="2">
        <v>1389</v>
      </c>
      <c r="E158" s="2">
        <v>1380</v>
      </c>
      <c r="F158" s="1">
        <v>2.8999999999999998E-3</v>
      </c>
    </row>
    <row r="159" spans="1:6" x14ac:dyDescent="0.35">
      <c r="A159" s="2" t="s">
        <v>436</v>
      </c>
      <c r="B159" s="2">
        <v>1450</v>
      </c>
      <c r="C159" s="2">
        <v>1500</v>
      </c>
      <c r="D159" s="2">
        <v>1517.41</v>
      </c>
      <c r="E159" s="2">
        <v>1439.585</v>
      </c>
      <c r="F159" s="1">
        <v>-3.3300000000000003E-2</v>
      </c>
    </row>
    <row r="160" spans="1:6" x14ac:dyDescent="0.35">
      <c r="A160" s="2" t="s">
        <v>393</v>
      </c>
      <c r="B160" s="2">
        <v>1555</v>
      </c>
      <c r="C160" s="2">
        <v>1580</v>
      </c>
      <c r="D160" s="2">
        <v>1618.26</v>
      </c>
      <c r="E160" s="2">
        <v>1510</v>
      </c>
      <c r="F160" s="1">
        <v>-1.5800000000000002E-2</v>
      </c>
    </row>
    <row r="161" spans="1:6" x14ac:dyDescent="0.35">
      <c r="A161" s="2" t="s">
        <v>350</v>
      </c>
      <c r="B161" s="2">
        <v>1620</v>
      </c>
      <c r="C161" s="2">
        <v>1657.86</v>
      </c>
      <c r="D161" s="2">
        <v>1657.86</v>
      </c>
      <c r="E161" s="2">
        <v>1607.5</v>
      </c>
      <c r="F161" s="1">
        <v>0</v>
      </c>
    </row>
    <row r="162" spans="1:6" x14ac:dyDescent="0.35">
      <c r="A162" s="2" t="s">
        <v>327</v>
      </c>
      <c r="B162" s="2">
        <v>1666.05</v>
      </c>
      <c r="C162" s="2">
        <v>1671.8</v>
      </c>
      <c r="D162" s="2">
        <v>1717.5</v>
      </c>
      <c r="E162" s="2">
        <v>1650</v>
      </c>
      <c r="F162" s="1">
        <v>3.8E-3</v>
      </c>
    </row>
    <row r="163" spans="1:6" x14ac:dyDescent="0.35">
      <c r="A163" s="2" t="s">
        <v>545</v>
      </c>
      <c r="B163" s="2">
        <v>913</v>
      </c>
      <c r="C163" s="2">
        <v>914.43</v>
      </c>
      <c r="D163" s="2">
        <v>914.71500000000003</v>
      </c>
      <c r="E163" s="2">
        <v>884.5</v>
      </c>
      <c r="F163" s="1">
        <v>0</v>
      </c>
    </row>
    <row r="164" spans="1:6" x14ac:dyDescent="0.35">
      <c r="A164" s="2" t="s">
        <v>522</v>
      </c>
      <c r="B164" s="2">
        <v>1444.06</v>
      </c>
      <c r="C164" s="2">
        <v>1418.13</v>
      </c>
      <c r="D164" s="2">
        <v>1445.06</v>
      </c>
      <c r="E164" s="2">
        <v>1250.5</v>
      </c>
      <c r="F164" s="1">
        <v>1.9E-2</v>
      </c>
    </row>
    <row r="165" spans="1:6" x14ac:dyDescent="0.35">
      <c r="A165" s="2" t="s">
        <v>501</v>
      </c>
      <c r="B165" s="2">
        <v>1593.34</v>
      </c>
      <c r="C165" s="2">
        <v>1590.14</v>
      </c>
      <c r="D165" s="2">
        <v>1594.34</v>
      </c>
      <c r="E165" s="2">
        <v>1505.5</v>
      </c>
      <c r="F165" s="1">
        <v>2.5999999999999999E-3</v>
      </c>
    </row>
    <row r="166" spans="1:6" x14ac:dyDescent="0.35">
      <c r="A166" s="2" t="s">
        <v>480</v>
      </c>
      <c r="B166" s="2">
        <v>1230</v>
      </c>
      <c r="C166" s="2">
        <v>1245.5</v>
      </c>
      <c r="D166" s="2">
        <v>1295</v>
      </c>
      <c r="E166" s="2">
        <v>1220.5</v>
      </c>
      <c r="F166" s="1">
        <v>-1.17E-2</v>
      </c>
    </row>
    <row r="167" spans="1:6" x14ac:dyDescent="0.35">
      <c r="A167" s="2" t="s">
        <v>458</v>
      </c>
      <c r="B167" s="2">
        <v>1404.8</v>
      </c>
      <c r="C167" s="2">
        <v>1383.9</v>
      </c>
      <c r="D167" s="2">
        <v>1430</v>
      </c>
      <c r="E167" s="2">
        <v>1383.9</v>
      </c>
      <c r="F167" s="1">
        <v>1.4999999999999999E-2</v>
      </c>
    </row>
    <row r="168" spans="1:6" x14ac:dyDescent="0.35">
      <c r="A168" s="2" t="s">
        <v>415</v>
      </c>
      <c r="B168" s="2">
        <v>1535</v>
      </c>
      <c r="C168" s="2">
        <v>1535</v>
      </c>
      <c r="D168" s="2">
        <v>1540.175</v>
      </c>
      <c r="E168" s="2">
        <v>1469.5</v>
      </c>
      <c r="F168" s="1">
        <v>0</v>
      </c>
    </row>
    <row r="169" spans="1:6" x14ac:dyDescent="0.35">
      <c r="A169" s="2" t="s">
        <v>392</v>
      </c>
      <c r="B169" s="2">
        <v>1590</v>
      </c>
      <c r="C169" s="2">
        <v>1555</v>
      </c>
      <c r="D169" s="2">
        <v>1627.76</v>
      </c>
      <c r="E169" s="2">
        <v>1535</v>
      </c>
      <c r="F169" s="1">
        <v>2.2499999999999999E-2</v>
      </c>
    </row>
    <row r="170" spans="1:6" x14ac:dyDescent="0.35">
      <c r="A170" s="2" t="s">
        <v>349</v>
      </c>
      <c r="B170" s="2">
        <v>1620</v>
      </c>
      <c r="C170" s="2">
        <v>1620</v>
      </c>
      <c r="D170" s="2">
        <v>1657.86</v>
      </c>
      <c r="E170" s="2">
        <v>1610</v>
      </c>
      <c r="F170" s="1">
        <v>0</v>
      </c>
    </row>
    <row r="171" spans="1:6" x14ac:dyDescent="0.35">
      <c r="A171" s="2" t="s">
        <v>326</v>
      </c>
      <c r="B171" s="2">
        <v>1661.15</v>
      </c>
      <c r="C171" s="2">
        <v>1678.05</v>
      </c>
      <c r="D171" s="2">
        <v>1707.7049999999999</v>
      </c>
      <c r="E171" s="2">
        <v>1650</v>
      </c>
      <c r="F171" s="1">
        <v>-2.8999999999999998E-3</v>
      </c>
    </row>
    <row r="172" spans="1:6" x14ac:dyDescent="0.35">
      <c r="A172" s="2" t="s">
        <v>544</v>
      </c>
      <c r="B172" s="2">
        <v>913</v>
      </c>
      <c r="C172" s="2">
        <v>885.2</v>
      </c>
      <c r="D172" s="2">
        <v>914.5</v>
      </c>
      <c r="E172" s="2">
        <v>885.2</v>
      </c>
      <c r="F172" s="1">
        <v>0</v>
      </c>
    </row>
    <row r="173" spans="1:6" x14ac:dyDescent="0.35">
      <c r="A173" s="2" t="s">
        <v>521</v>
      </c>
      <c r="B173" s="2">
        <v>1473.62</v>
      </c>
      <c r="C173" s="2">
        <v>1445.06</v>
      </c>
      <c r="D173" s="2">
        <v>1474.62</v>
      </c>
      <c r="E173" s="2">
        <v>1250.5</v>
      </c>
      <c r="F173" s="1">
        <v>2.0500000000000001E-2</v>
      </c>
    </row>
    <row r="174" spans="1:6" x14ac:dyDescent="0.35">
      <c r="A174" s="2" t="s">
        <v>479</v>
      </c>
      <c r="B174" s="2">
        <v>1246.17</v>
      </c>
      <c r="C174" s="2">
        <v>1231</v>
      </c>
      <c r="D174" s="2">
        <v>1247.17</v>
      </c>
      <c r="E174" s="2">
        <v>1231</v>
      </c>
      <c r="F174" s="1">
        <v>1.3100000000000001E-2</v>
      </c>
    </row>
    <row r="175" spans="1:6" x14ac:dyDescent="0.35">
      <c r="A175" s="2" t="s">
        <v>457</v>
      </c>
      <c r="B175" s="2">
        <v>1429.05</v>
      </c>
      <c r="C175" s="2">
        <v>1405.8</v>
      </c>
      <c r="D175" s="2">
        <v>1455</v>
      </c>
      <c r="E175" s="2">
        <v>1405.8</v>
      </c>
      <c r="F175" s="1">
        <v>1.7299999999999999E-2</v>
      </c>
    </row>
    <row r="176" spans="1:6" x14ac:dyDescent="0.35">
      <c r="A176" s="2" t="s">
        <v>414</v>
      </c>
      <c r="B176" s="2">
        <v>1535</v>
      </c>
      <c r="C176" s="2">
        <v>1535</v>
      </c>
      <c r="D176" s="2">
        <v>1544.25</v>
      </c>
      <c r="E176" s="2">
        <v>1505.9</v>
      </c>
      <c r="F176" s="1">
        <v>0</v>
      </c>
    </row>
    <row r="177" spans="1:6" x14ac:dyDescent="0.35">
      <c r="A177" s="2" t="s">
        <v>391</v>
      </c>
      <c r="B177" s="2">
        <v>1583.03</v>
      </c>
      <c r="C177" s="2">
        <v>1590</v>
      </c>
      <c r="D177" s="2">
        <v>1633.04</v>
      </c>
      <c r="E177" s="2">
        <v>1555</v>
      </c>
      <c r="F177" s="1">
        <v>-4.4000000000000003E-3</v>
      </c>
    </row>
    <row r="178" spans="1:6" x14ac:dyDescent="0.35">
      <c r="A178" s="2" t="s">
        <v>370</v>
      </c>
      <c r="B178" s="2">
        <v>1645</v>
      </c>
      <c r="C178" s="2">
        <v>1621.02</v>
      </c>
      <c r="D178" s="2">
        <v>1649.325</v>
      </c>
      <c r="E178" s="2">
        <v>1600</v>
      </c>
      <c r="F178" s="1">
        <v>2.4899999999999999E-2</v>
      </c>
    </row>
    <row r="179" spans="1:6" x14ac:dyDescent="0.35">
      <c r="A179" s="2" t="s">
        <v>348</v>
      </c>
      <c r="B179" s="2">
        <v>1620</v>
      </c>
      <c r="C179" s="2">
        <v>1620</v>
      </c>
      <c r="D179" s="2">
        <v>1637.15</v>
      </c>
      <c r="E179" s="2">
        <v>1590.69</v>
      </c>
      <c r="F179" s="1">
        <v>0</v>
      </c>
    </row>
    <row r="180" spans="1:6" x14ac:dyDescent="0.35">
      <c r="A180" s="2" t="s">
        <v>305</v>
      </c>
      <c r="B180" s="2">
        <v>1532.47</v>
      </c>
      <c r="C180" s="2">
        <v>1588.79</v>
      </c>
      <c r="D180" s="2">
        <v>1707.5</v>
      </c>
      <c r="E180" s="2">
        <v>1485</v>
      </c>
      <c r="F180" s="1">
        <v>-6.4999999999999997E-3</v>
      </c>
    </row>
    <row r="181" spans="1:6" x14ac:dyDescent="0.35">
      <c r="A181" s="2" t="s">
        <v>543</v>
      </c>
      <c r="B181" s="2">
        <v>950.49</v>
      </c>
      <c r="C181" s="2">
        <v>952.5</v>
      </c>
      <c r="D181" s="2">
        <v>952.745</v>
      </c>
      <c r="E181" s="2">
        <v>951.245</v>
      </c>
      <c r="F181" s="1">
        <v>4.1099999999999998E-2</v>
      </c>
    </row>
    <row r="182" spans="1:6" x14ac:dyDescent="0.35">
      <c r="A182" s="2" t="s">
        <v>478</v>
      </c>
      <c r="B182" s="2">
        <v>1230</v>
      </c>
      <c r="C182" s="2">
        <v>1247.17</v>
      </c>
      <c r="D182" s="2">
        <v>1247.17</v>
      </c>
      <c r="E182" s="2">
        <v>1235</v>
      </c>
      <c r="F182" s="1">
        <v>-1.2999999999999999E-2</v>
      </c>
    </row>
    <row r="183" spans="1:6" x14ac:dyDescent="0.35">
      <c r="A183" s="2" t="s">
        <v>456</v>
      </c>
      <c r="B183" s="2">
        <v>1439.8</v>
      </c>
      <c r="C183" s="2">
        <v>1430.05</v>
      </c>
      <c r="D183" s="2">
        <v>1465</v>
      </c>
      <c r="E183" s="2">
        <v>1430.05</v>
      </c>
      <c r="F183" s="1">
        <v>7.4999999999999997E-3</v>
      </c>
    </row>
    <row r="184" spans="1:6" x14ac:dyDescent="0.35">
      <c r="A184" s="2" t="s">
        <v>435</v>
      </c>
      <c r="B184" s="2">
        <v>1510</v>
      </c>
      <c r="C184" s="2">
        <v>1485.82</v>
      </c>
      <c r="D184" s="2">
        <v>1519.91</v>
      </c>
      <c r="E184" s="2">
        <v>1433.4</v>
      </c>
      <c r="F184" s="1">
        <v>4.1399999999999999E-2</v>
      </c>
    </row>
    <row r="185" spans="1:6" x14ac:dyDescent="0.35">
      <c r="A185" s="2" t="s">
        <v>413</v>
      </c>
      <c r="B185" s="2">
        <v>1590</v>
      </c>
      <c r="C185" s="2">
        <v>1535</v>
      </c>
      <c r="D185" s="2">
        <v>1590</v>
      </c>
      <c r="E185" s="2">
        <v>1474</v>
      </c>
      <c r="F185" s="1">
        <v>3.5799999999999998E-2</v>
      </c>
    </row>
    <row r="186" spans="1:6" x14ac:dyDescent="0.35">
      <c r="A186" s="2" t="s">
        <v>369</v>
      </c>
      <c r="B186" s="2">
        <v>1645</v>
      </c>
      <c r="C186" s="2">
        <v>1645</v>
      </c>
      <c r="D186" s="2">
        <v>1649.325</v>
      </c>
      <c r="E186" s="2">
        <v>1592.5</v>
      </c>
      <c r="F186" s="1">
        <v>0</v>
      </c>
    </row>
    <row r="187" spans="1:6" x14ac:dyDescent="0.35">
      <c r="A187" s="2" t="s">
        <v>347</v>
      </c>
      <c r="B187" s="2">
        <v>1620</v>
      </c>
      <c r="C187" s="2">
        <v>1620</v>
      </c>
      <c r="D187" s="2">
        <v>1638.595</v>
      </c>
      <c r="E187" s="2">
        <v>1590.69</v>
      </c>
      <c r="F187" s="1">
        <v>0</v>
      </c>
    </row>
    <row r="188" spans="1:6" x14ac:dyDescent="0.35">
      <c r="A188" s="2" t="s">
        <v>304</v>
      </c>
      <c r="B188" s="2">
        <v>1537.5</v>
      </c>
      <c r="C188" s="2">
        <v>1542.47</v>
      </c>
      <c r="D188" s="2">
        <v>1547.5</v>
      </c>
      <c r="E188" s="2">
        <v>1533.615</v>
      </c>
      <c r="F188" s="1">
        <v>3.3E-3</v>
      </c>
    </row>
    <row r="189" spans="1:6" x14ac:dyDescent="0.35">
      <c r="A189" s="2" t="s">
        <v>542</v>
      </c>
      <c r="B189" s="2">
        <v>957.05</v>
      </c>
      <c r="C189" s="2">
        <v>951.49</v>
      </c>
      <c r="D189" s="2">
        <v>959.02499999999998</v>
      </c>
      <c r="E189" s="2">
        <v>951.245</v>
      </c>
      <c r="F189" s="1">
        <v>6.8999999999999999E-3</v>
      </c>
    </row>
    <row r="190" spans="1:6" x14ac:dyDescent="0.35">
      <c r="A190" s="2" t="s">
        <v>500</v>
      </c>
      <c r="B190" s="2">
        <v>1624.23</v>
      </c>
      <c r="C190" s="2">
        <v>1594.34</v>
      </c>
      <c r="D190" s="2">
        <v>1625.23</v>
      </c>
      <c r="E190" s="2">
        <v>1531</v>
      </c>
      <c r="F190" s="1">
        <v>1.9400000000000001E-2</v>
      </c>
    </row>
    <row r="191" spans="1:6" x14ac:dyDescent="0.35">
      <c r="A191" s="2" t="s">
        <v>477</v>
      </c>
      <c r="B191" s="2">
        <v>1246.17</v>
      </c>
      <c r="C191" s="2">
        <v>1247.17</v>
      </c>
      <c r="D191" s="2">
        <v>1247.17</v>
      </c>
      <c r="E191" s="2">
        <v>1247.05</v>
      </c>
      <c r="F191" s="1">
        <v>1.3100000000000001E-2</v>
      </c>
    </row>
    <row r="192" spans="1:6" x14ac:dyDescent="0.35">
      <c r="A192" s="2" t="s">
        <v>434</v>
      </c>
      <c r="B192" s="2">
        <v>1525</v>
      </c>
      <c r="C192" s="2">
        <v>1510</v>
      </c>
      <c r="D192" s="2">
        <v>1525.32</v>
      </c>
      <c r="E192" s="2">
        <v>1458.4</v>
      </c>
      <c r="F192" s="1">
        <v>9.9000000000000008E-3</v>
      </c>
    </row>
    <row r="193" spans="1:6" x14ac:dyDescent="0.35">
      <c r="A193" s="2" t="s">
        <v>412</v>
      </c>
      <c r="B193" s="2">
        <v>1600</v>
      </c>
      <c r="C193" s="2">
        <v>1590</v>
      </c>
      <c r="D193" s="2">
        <v>1612</v>
      </c>
      <c r="E193" s="2">
        <v>1474</v>
      </c>
      <c r="F193" s="1">
        <v>6.3E-3</v>
      </c>
    </row>
    <row r="194" spans="1:6" x14ac:dyDescent="0.35">
      <c r="A194" s="2" t="s">
        <v>368</v>
      </c>
      <c r="B194" s="2">
        <v>1655</v>
      </c>
      <c r="C194" s="2">
        <v>1645</v>
      </c>
      <c r="D194" s="2">
        <v>1655</v>
      </c>
      <c r="E194" s="2">
        <v>1606.7249999999999</v>
      </c>
      <c r="F194" s="1">
        <v>6.1000000000000004E-3</v>
      </c>
    </row>
    <row r="195" spans="1:6" x14ac:dyDescent="0.35">
      <c r="A195" s="2" t="s">
        <v>346</v>
      </c>
      <c r="B195" s="2">
        <v>1620</v>
      </c>
      <c r="C195" s="2">
        <v>1620</v>
      </c>
      <c r="D195" s="2">
        <v>1636.095</v>
      </c>
      <c r="E195" s="2">
        <v>1611.165</v>
      </c>
      <c r="F195" s="1">
        <v>0</v>
      </c>
    </row>
    <row r="196" spans="1:6" x14ac:dyDescent="0.35">
      <c r="A196" s="2" t="s">
        <v>325</v>
      </c>
      <c r="B196" s="2">
        <v>1661.15</v>
      </c>
      <c r="C196" s="2">
        <v>1665.84</v>
      </c>
      <c r="D196" s="2">
        <v>1717.5</v>
      </c>
      <c r="E196" s="2">
        <v>1635</v>
      </c>
      <c r="F196" s="1">
        <v>0</v>
      </c>
    </row>
    <row r="197" spans="1:6" x14ac:dyDescent="0.35">
      <c r="A197" s="2" t="s">
        <v>303</v>
      </c>
      <c r="B197" s="2">
        <v>1539.29</v>
      </c>
      <c r="C197" s="2">
        <v>1547.5</v>
      </c>
      <c r="D197" s="2">
        <v>1557</v>
      </c>
      <c r="E197" s="2">
        <v>1526.5550000000001</v>
      </c>
      <c r="F197" s="1">
        <v>1.1999999999999999E-3</v>
      </c>
    </row>
    <row r="198" spans="1:6" x14ac:dyDescent="0.35">
      <c r="A198" s="2" t="s">
        <v>541</v>
      </c>
      <c r="B198" s="2">
        <v>957</v>
      </c>
      <c r="C198" s="2">
        <v>958.05</v>
      </c>
      <c r="D198" s="2">
        <v>959.02499999999998</v>
      </c>
      <c r="E198" s="2">
        <v>958.02499999999998</v>
      </c>
      <c r="F198" s="1">
        <v>-1E-4</v>
      </c>
    </row>
    <row r="199" spans="1:6" x14ac:dyDescent="0.35">
      <c r="A199" s="2" t="s">
        <v>520</v>
      </c>
      <c r="B199" s="2">
        <v>1500</v>
      </c>
      <c r="C199" s="2">
        <v>1474.62</v>
      </c>
      <c r="D199" s="2">
        <v>1503.75</v>
      </c>
      <c r="E199" s="2">
        <v>1250.75</v>
      </c>
      <c r="F199" s="1">
        <v>1.7899999999999999E-2</v>
      </c>
    </row>
    <row r="200" spans="1:6" x14ac:dyDescent="0.35">
      <c r="A200" s="2" t="s">
        <v>499</v>
      </c>
      <c r="B200" s="2">
        <v>1611.78</v>
      </c>
      <c r="C200" s="2">
        <v>1625.23</v>
      </c>
      <c r="D200" s="2">
        <v>1625.23</v>
      </c>
      <c r="E200" s="2">
        <v>1575.25</v>
      </c>
      <c r="F200" s="1">
        <v>-7.7000000000000002E-3</v>
      </c>
    </row>
    <row r="201" spans="1:6" x14ac:dyDescent="0.35">
      <c r="A201" s="2" t="s">
        <v>476</v>
      </c>
      <c r="B201" s="2">
        <v>1150</v>
      </c>
      <c r="C201" s="2">
        <v>1247.17</v>
      </c>
      <c r="D201" s="2">
        <v>1263.085</v>
      </c>
      <c r="E201" s="2">
        <v>1151</v>
      </c>
      <c r="F201" s="1">
        <v>-7.7200000000000005E-2</v>
      </c>
    </row>
    <row r="202" spans="1:6" x14ac:dyDescent="0.35">
      <c r="A202" s="2" t="s">
        <v>433</v>
      </c>
      <c r="B202" s="2">
        <v>1525</v>
      </c>
      <c r="C202" s="2">
        <v>1525</v>
      </c>
      <c r="D202" s="2">
        <v>1525.5</v>
      </c>
      <c r="E202" s="2">
        <v>1481.0250000000001</v>
      </c>
      <c r="F202" s="1">
        <v>0</v>
      </c>
    </row>
    <row r="203" spans="1:6" x14ac:dyDescent="0.35">
      <c r="A203" s="2" t="s">
        <v>411</v>
      </c>
      <c r="B203" s="2">
        <v>1600</v>
      </c>
      <c r="C203" s="2">
        <v>1600</v>
      </c>
      <c r="D203" s="2">
        <v>1605.25</v>
      </c>
      <c r="E203" s="2">
        <v>1550.875</v>
      </c>
      <c r="F203" s="1">
        <v>0</v>
      </c>
    </row>
    <row r="204" spans="1:6" x14ac:dyDescent="0.35">
      <c r="A204" s="2" t="s">
        <v>390</v>
      </c>
      <c r="B204" s="2">
        <v>1590</v>
      </c>
      <c r="C204" s="2">
        <v>1590</v>
      </c>
      <c r="D204" s="2">
        <v>1616.5150000000001</v>
      </c>
      <c r="E204" s="2">
        <v>1555</v>
      </c>
      <c r="F204" s="1">
        <v>4.4000000000000003E-3</v>
      </c>
    </row>
    <row r="205" spans="1:6" x14ac:dyDescent="0.35">
      <c r="A205" s="2" t="s">
        <v>367</v>
      </c>
      <c r="B205" s="2">
        <v>1655</v>
      </c>
      <c r="C205" s="2">
        <v>1655</v>
      </c>
      <c r="D205" s="2">
        <v>1665</v>
      </c>
      <c r="E205" s="2">
        <v>1497.5</v>
      </c>
      <c r="F205" s="1">
        <v>0</v>
      </c>
    </row>
    <row r="206" spans="1:6" x14ac:dyDescent="0.35">
      <c r="A206" s="2" t="s">
        <v>324</v>
      </c>
      <c r="B206" s="2">
        <v>1663.35</v>
      </c>
      <c r="C206" s="2">
        <v>1673.15</v>
      </c>
      <c r="D206" s="2">
        <v>1679.31</v>
      </c>
      <c r="E206" s="2">
        <v>1645</v>
      </c>
      <c r="F206" s="1">
        <v>1.2999999999999999E-3</v>
      </c>
    </row>
    <row r="207" spans="1:6" x14ac:dyDescent="0.35">
      <c r="A207" s="2" t="s">
        <v>302</v>
      </c>
      <c r="B207" s="2">
        <v>1537.45</v>
      </c>
      <c r="C207" s="2">
        <v>1549.29</v>
      </c>
      <c r="D207" s="2">
        <v>1562.145</v>
      </c>
      <c r="E207" s="2">
        <v>1526.5550000000001</v>
      </c>
      <c r="F207" s="1">
        <v>-1.1999999999999999E-3</v>
      </c>
    </row>
    <row r="208" spans="1:6" x14ac:dyDescent="0.35">
      <c r="A208" s="2" t="s">
        <v>288</v>
      </c>
      <c r="B208" s="2">
        <v>1537.57</v>
      </c>
      <c r="C208" s="2">
        <v>1538.57</v>
      </c>
      <c r="D208" s="2">
        <v>1538.57</v>
      </c>
      <c r="E208" s="2">
        <v>1538.57</v>
      </c>
      <c r="F208" s="1">
        <v>2.3E-3</v>
      </c>
    </row>
    <row r="209" spans="1:6" x14ac:dyDescent="0.35">
      <c r="A209" s="2" t="s">
        <v>224</v>
      </c>
      <c r="B209" s="2">
        <v>1535.92</v>
      </c>
      <c r="C209" s="2">
        <v>1537.73</v>
      </c>
      <c r="D209" s="2">
        <v>1541.885</v>
      </c>
      <c r="E209" s="2">
        <v>1529.6849999999999</v>
      </c>
      <c r="F209" s="1">
        <v>6.9999999999999999E-4</v>
      </c>
    </row>
    <row r="210" spans="1:6" x14ac:dyDescent="0.35">
      <c r="A210" s="2" t="s">
        <v>202</v>
      </c>
      <c r="B210" s="2">
        <v>1605.615</v>
      </c>
      <c r="C210" s="2">
        <v>1602.0650000000001</v>
      </c>
      <c r="D210" s="2">
        <v>1610</v>
      </c>
      <c r="E210" s="2">
        <v>1597.44</v>
      </c>
      <c r="F210" s="1">
        <v>2E-3</v>
      </c>
    </row>
    <row r="211" spans="1:6" x14ac:dyDescent="0.35">
      <c r="A211" s="2" t="s">
        <v>159</v>
      </c>
      <c r="B211" s="2">
        <v>1534.08</v>
      </c>
      <c r="C211" s="2">
        <v>1545</v>
      </c>
      <c r="D211" s="2">
        <v>1545</v>
      </c>
      <c r="E211" s="2">
        <v>1530.05</v>
      </c>
      <c r="F211" s="1">
        <v>-1.5E-3</v>
      </c>
    </row>
    <row r="212" spans="1:6" x14ac:dyDescent="0.35">
      <c r="A212" s="2" t="s">
        <v>136</v>
      </c>
      <c r="B212" s="2">
        <v>1532.9649999999999</v>
      </c>
      <c r="C212" s="2">
        <v>1530.89</v>
      </c>
      <c r="D212" s="2">
        <v>1534.94</v>
      </c>
      <c r="E212" s="2">
        <v>1528.0050000000001</v>
      </c>
      <c r="F212" s="1">
        <v>1.4E-3</v>
      </c>
    </row>
    <row r="213" spans="1:6" x14ac:dyDescent="0.35">
      <c r="A213" s="2" t="s">
        <v>115</v>
      </c>
      <c r="B213" s="2">
        <v>1529.68</v>
      </c>
      <c r="C213" s="2">
        <v>1532.57</v>
      </c>
      <c r="D213" s="2">
        <v>1534.605</v>
      </c>
      <c r="E213" s="2">
        <v>1526.2349999999999</v>
      </c>
      <c r="F213" s="1">
        <v>-4.7000000000000002E-3</v>
      </c>
    </row>
    <row r="214" spans="1:6" x14ac:dyDescent="0.35">
      <c r="A214" s="2" t="s">
        <v>93</v>
      </c>
      <c r="B214" s="2">
        <v>1483.1949999999999</v>
      </c>
      <c r="C214" s="2">
        <v>1483.24</v>
      </c>
      <c r="D214" s="2">
        <v>1485.875</v>
      </c>
      <c r="E214" s="2">
        <v>1477.59</v>
      </c>
      <c r="F214" s="1">
        <v>0</v>
      </c>
    </row>
    <row r="215" spans="1:6" x14ac:dyDescent="0.35">
      <c r="A215" s="2" t="s">
        <v>50</v>
      </c>
      <c r="B215" s="2">
        <v>1446.915</v>
      </c>
      <c r="C215" s="2">
        <v>1443</v>
      </c>
      <c r="D215" s="2">
        <v>1450.095</v>
      </c>
      <c r="E215" s="2">
        <v>1439.82</v>
      </c>
      <c r="F215" s="1">
        <v>-2.9999999999999997E-4</v>
      </c>
    </row>
    <row r="216" spans="1:6" x14ac:dyDescent="0.35">
      <c r="A216" s="2" t="s">
        <v>287</v>
      </c>
      <c r="B216" s="2">
        <v>1538</v>
      </c>
      <c r="C216" s="2">
        <v>1544</v>
      </c>
      <c r="D216" s="2">
        <v>1548</v>
      </c>
      <c r="E216" s="2">
        <v>1536.7850000000001</v>
      </c>
      <c r="F216" s="1">
        <v>2.9999999999999997E-4</v>
      </c>
    </row>
    <row r="217" spans="1:6" x14ac:dyDescent="0.35">
      <c r="A217" s="2" t="s">
        <v>223</v>
      </c>
      <c r="B217" s="2">
        <v>1533.39</v>
      </c>
      <c r="C217" s="2">
        <v>1541.78</v>
      </c>
      <c r="D217" s="2">
        <v>1541.915</v>
      </c>
      <c r="E217" s="2">
        <v>1526.5</v>
      </c>
      <c r="F217" s="1">
        <v>-1.6000000000000001E-3</v>
      </c>
    </row>
    <row r="218" spans="1:6" x14ac:dyDescent="0.35">
      <c r="A218" s="2" t="s">
        <v>201</v>
      </c>
      <c r="B218" s="2">
        <v>1603.58</v>
      </c>
      <c r="C218" s="2">
        <v>1605.615</v>
      </c>
      <c r="D218" s="2">
        <v>1610</v>
      </c>
      <c r="E218" s="2">
        <v>1600.425</v>
      </c>
      <c r="F218" s="1">
        <v>-1.2999999999999999E-3</v>
      </c>
    </row>
    <row r="219" spans="1:6" x14ac:dyDescent="0.35">
      <c r="A219" s="2" t="s">
        <v>180</v>
      </c>
      <c r="B219" s="2">
        <v>1584.21</v>
      </c>
      <c r="C219" s="2">
        <v>1587</v>
      </c>
      <c r="D219" s="2">
        <v>1590.5</v>
      </c>
      <c r="E219" s="2">
        <v>1580.2750000000001</v>
      </c>
      <c r="F219" s="1">
        <v>-2.3999999999999998E-3</v>
      </c>
    </row>
    <row r="220" spans="1:6" x14ac:dyDescent="0.35">
      <c r="A220" s="2" t="s">
        <v>158</v>
      </c>
      <c r="B220" s="2">
        <v>1531.9849999999999</v>
      </c>
      <c r="C220" s="2">
        <v>1534.08</v>
      </c>
      <c r="D220" s="2">
        <v>1536.48</v>
      </c>
      <c r="E220" s="2">
        <v>1524.835</v>
      </c>
      <c r="F220" s="1">
        <v>-1.4E-3</v>
      </c>
    </row>
    <row r="221" spans="1:6" x14ac:dyDescent="0.35">
      <c r="A221" s="2" t="s">
        <v>114</v>
      </c>
      <c r="B221" s="2">
        <v>1539</v>
      </c>
      <c r="C221" s="2">
        <v>1528.73</v>
      </c>
      <c r="D221" s="2">
        <v>1539</v>
      </c>
      <c r="E221" s="2">
        <v>1525.2850000000001</v>
      </c>
      <c r="F221" s="1">
        <v>6.1000000000000004E-3</v>
      </c>
    </row>
    <row r="222" spans="1:6" x14ac:dyDescent="0.35">
      <c r="A222" s="2" t="s">
        <v>92</v>
      </c>
      <c r="B222" s="2">
        <v>1469.73</v>
      </c>
      <c r="C222" s="2">
        <v>1477.7</v>
      </c>
      <c r="D222" s="2">
        <v>1486</v>
      </c>
      <c r="E222" s="2">
        <v>1455.8</v>
      </c>
      <c r="F222" s="1">
        <v>-9.1000000000000004E-3</v>
      </c>
    </row>
    <row r="223" spans="1:6" x14ac:dyDescent="0.35">
      <c r="A223" s="2" t="s">
        <v>49</v>
      </c>
      <c r="B223" s="2">
        <v>1446.9849999999999</v>
      </c>
      <c r="C223" s="2">
        <v>1442.72</v>
      </c>
      <c r="D223" s="2">
        <v>1449.1849999999999</v>
      </c>
      <c r="E223" s="2">
        <v>1442.72</v>
      </c>
      <c r="F223" s="1">
        <v>0</v>
      </c>
    </row>
    <row r="224" spans="1:6" x14ac:dyDescent="0.35">
      <c r="A224" s="2" t="s">
        <v>286</v>
      </c>
      <c r="B224" s="2">
        <v>1533.5</v>
      </c>
      <c r="C224" s="2">
        <v>1548</v>
      </c>
      <c r="D224" s="2">
        <v>1559</v>
      </c>
      <c r="E224" s="2">
        <v>1528.5</v>
      </c>
      <c r="F224" s="1">
        <v>-2.8999999999999998E-3</v>
      </c>
    </row>
    <row r="225" spans="1:6" x14ac:dyDescent="0.35">
      <c r="A225" s="2" t="s">
        <v>265</v>
      </c>
      <c r="B225" s="2">
        <v>1477.22</v>
      </c>
      <c r="C225" s="2">
        <v>1481</v>
      </c>
      <c r="D225" s="2">
        <v>1550</v>
      </c>
      <c r="E225" s="2">
        <v>1442.5</v>
      </c>
      <c r="F225" s="1">
        <v>-1.9E-3</v>
      </c>
    </row>
    <row r="226" spans="1:6" x14ac:dyDescent="0.35">
      <c r="A226" s="2" t="s">
        <v>245</v>
      </c>
      <c r="B226" s="2">
        <v>1498</v>
      </c>
      <c r="C226" s="2">
        <v>1499.07</v>
      </c>
      <c r="D226" s="2">
        <v>1503.0350000000001</v>
      </c>
      <c r="E226" s="2">
        <v>1498.5350000000001</v>
      </c>
      <c r="F226" s="1">
        <v>0</v>
      </c>
    </row>
    <row r="227" spans="1:6" x14ac:dyDescent="0.35">
      <c r="A227" s="2" t="s">
        <v>222</v>
      </c>
      <c r="B227" s="2">
        <v>1533</v>
      </c>
      <c r="C227" s="2">
        <v>1536.9349999999999</v>
      </c>
      <c r="D227" s="2">
        <v>1543.5</v>
      </c>
      <c r="E227" s="2">
        <v>1529.7750000000001</v>
      </c>
      <c r="F227" s="1">
        <v>-2.9999999999999997E-4</v>
      </c>
    </row>
    <row r="228" spans="1:6" x14ac:dyDescent="0.35">
      <c r="A228" s="2" t="s">
        <v>179</v>
      </c>
      <c r="B228" s="2">
        <v>1581.2349999999999</v>
      </c>
      <c r="C228" s="2">
        <v>1582</v>
      </c>
      <c r="D228" s="2">
        <v>1587.075</v>
      </c>
      <c r="E228" s="2">
        <v>1578</v>
      </c>
      <c r="F228" s="1">
        <v>-1.9E-3</v>
      </c>
    </row>
    <row r="229" spans="1:6" x14ac:dyDescent="0.35">
      <c r="A229" s="2" t="s">
        <v>157</v>
      </c>
      <c r="B229" s="2">
        <v>1532.74</v>
      </c>
      <c r="C229" s="2">
        <v>1531.97</v>
      </c>
      <c r="D229" s="2">
        <v>1535</v>
      </c>
      <c r="E229" s="2">
        <v>1523.9349999999999</v>
      </c>
      <c r="F229" s="1">
        <v>5.0000000000000001E-4</v>
      </c>
    </row>
    <row r="230" spans="1:6" x14ac:dyDescent="0.35">
      <c r="A230" s="2" t="s">
        <v>113</v>
      </c>
      <c r="B230" s="2">
        <v>1539.5050000000001</v>
      </c>
      <c r="C230" s="2">
        <v>1536.405</v>
      </c>
      <c r="D230" s="2">
        <v>1539.5050000000001</v>
      </c>
      <c r="E230" s="2">
        <v>1524.73</v>
      </c>
      <c r="F230" s="1">
        <v>2.9999999999999997E-4</v>
      </c>
    </row>
    <row r="231" spans="1:6" x14ac:dyDescent="0.35">
      <c r="A231" s="2" t="s">
        <v>91</v>
      </c>
      <c r="B231" s="2">
        <v>1471.165</v>
      </c>
      <c r="C231" s="2">
        <v>1469.73</v>
      </c>
      <c r="D231" s="2">
        <v>1471.51</v>
      </c>
      <c r="E231" s="2">
        <v>1460.0650000000001</v>
      </c>
      <c r="F231" s="1">
        <v>1E-3</v>
      </c>
    </row>
    <row r="232" spans="1:6" x14ac:dyDescent="0.35">
      <c r="A232" s="2" t="s">
        <v>70</v>
      </c>
      <c r="B232" s="2">
        <v>1441.41</v>
      </c>
      <c r="C232" s="2">
        <v>1446.81</v>
      </c>
      <c r="D232" s="2">
        <v>1454.625</v>
      </c>
      <c r="E232" s="2">
        <v>1425.1</v>
      </c>
      <c r="F232" s="1">
        <v>-3.7000000000000002E-3</v>
      </c>
    </row>
    <row r="233" spans="1:6" x14ac:dyDescent="0.35">
      <c r="A233" s="2" t="s">
        <v>48</v>
      </c>
      <c r="B233" s="2">
        <v>1447.5150000000001</v>
      </c>
      <c r="C233" s="2">
        <v>1446.9849999999999</v>
      </c>
      <c r="D233" s="2">
        <v>1449.105</v>
      </c>
      <c r="E233" s="2">
        <v>1442.52</v>
      </c>
      <c r="F233" s="1">
        <v>4.0000000000000002E-4</v>
      </c>
    </row>
    <row r="234" spans="1:6" x14ac:dyDescent="0.35">
      <c r="A234" s="2" t="s">
        <v>264</v>
      </c>
      <c r="B234" s="2">
        <v>1487.99</v>
      </c>
      <c r="C234" s="2">
        <v>1483</v>
      </c>
      <c r="D234" s="2">
        <v>1499</v>
      </c>
      <c r="E234" s="2">
        <v>1478.11</v>
      </c>
      <c r="F234" s="1">
        <v>7.3000000000000001E-3</v>
      </c>
    </row>
    <row r="235" spans="1:6" x14ac:dyDescent="0.35">
      <c r="A235" s="2" t="s">
        <v>244</v>
      </c>
      <c r="B235" s="2">
        <v>1497</v>
      </c>
      <c r="C235" s="2">
        <v>1499.07</v>
      </c>
      <c r="D235" s="2">
        <v>1507.5</v>
      </c>
      <c r="E235" s="2">
        <v>1494.5</v>
      </c>
      <c r="F235" s="1">
        <v>-6.9999999999999999E-4</v>
      </c>
    </row>
    <row r="236" spans="1:6" x14ac:dyDescent="0.35">
      <c r="A236" s="2" t="s">
        <v>221</v>
      </c>
      <c r="B236" s="2">
        <v>1529.37</v>
      </c>
      <c r="C236" s="2">
        <v>1538.0550000000001</v>
      </c>
      <c r="D236" s="2">
        <v>1589.655</v>
      </c>
      <c r="E236" s="2">
        <v>1530.0250000000001</v>
      </c>
      <c r="F236" s="1">
        <v>-2.3999999999999998E-3</v>
      </c>
    </row>
    <row r="237" spans="1:6" x14ac:dyDescent="0.35">
      <c r="A237" s="2" t="s">
        <v>178</v>
      </c>
      <c r="B237" s="2">
        <v>1577.38</v>
      </c>
      <c r="C237" s="2">
        <v>1581.2650000000001</v>
      </c>
      <c r="D237" s="2">
        <v>1584.5</v>
      </c>
      <c r="E237" s="2">
        <v>1573.13</v>
      </c>
      <c r="F237" s="1">
        <v>-2.3999999999999998E-3</v>
      </c>
    </row>
    <row r="238" spans="1:6" x14ac:dyDescent="0.35">
      <c r="A238" s="2" t="s">
        <v>156</v>
      </c>
      <c r="B238" s="2">
        <v>1530.2</v>
      </c>
      <c r="C238" s="2">
        <v>1533.0050000000001</v>
      </c>
      <c r="D238" s="2">
        <v>1533.17</v>
      </c>
      <c r="E238" s="2">
        <v>1524.8050000000001</v>
      </c>
      <c r="F238" s="1">
        <v>-1.6999999999999999E-3</v>
      </c>
    </row>
    <row r="239" spans="1:6" x14ac:dyDescent="0.35">
      <c r="A239" s="2" t="s">
        <v>135</v>
      </c>
      <c r="B239" s="2">
        <v>1525.6</v>
      </c>
      <c r="C239" s="2">
        <v>1519</v>
      </c>
      <c r="D239" s="2">
        <v>1535.3</v>
      </c>
      <c r="E239" s="2">
        <v>1509</v>
      </c>
      <c r="F239" s="1">
        <v>-4.7999999999999996E-3</v>
      </c>
    </row>
    <row r="240" spans="1:6" x14ac:dyDescent="0.35">
      <c r="A240" s="2" t="s">
        <v>112</v>
      </c>
      <c r="B240" s="2">
        <v>1526.19</v>
      </c>
      <c r="C240" s="2">
        <v>1525.47</v>
      </c>
      <c r="D240" s="2">
        <v>1539.5050000000001</v>
      </c>
      <c r="E240" s="2">
        <v>1517.8050000000001</v>
      </c>
      <c r="F240" s="1">
        <v>-8.6E-3</v>
      </c>
    </row>
    <row r="241" spans="1:6" x14ac:dyDescent="0.35">
      <c r="A241" s="2" t="s">
        <v>69</v>
      </c>
      <c r="B241" s="2">
        <v>1442.04</v>
      </c>
      <c r="C241" s="2">
        <v>1441.35</v>
      </c>
      <c r="D241" s="2">
        <v>1442.61</v>
      </c>
      <c r="E241" s="2">
        <v>1435.19</v>
      </c>
      <c r="F241" s="1">
        <v>4.0000000000000002E-4</v>
      </c>
    </row>
    <row r="242" spans="1:6" x14ac:dyDescent="0.35">
      <c r="A242" s="2" t="s">
        <v>47</v>
      </c>
      <c r="B242" s="2">
        <v>1449.23</v>
      </c>
      <c r="C242" s="2">
        <v>1447.5150000000001</v>
      </c>
      <c r="D242" s="2">
        <v>1450.2249999999999</v>
      </c>
      <c r="E242" s="2">
        <v>1443.72</v>
      </c>
      <c r="F242" s="1">
        <v>1.1999999999999999E-3</v>
      </c>
    </row>
    <row r="243" spans="1:6" x14ac:dyDescent="0.35">
      <c r="A243" s="2" t="s">
        <v>263</v>
      </c>
      <c r="B243" s="2">
        <v>1496.41</v>
      </c>
      <c r="C243" s="2">
        <v>1488.99</v>
      </c>
      <c r="D243" s="2">
        <v>1500.7049999999999</v>
      </c>
      <c r="E243" s="2">
        <v>1488.99</v>
      </c>
      <c r="F243" s="1">
        <v>5.7000000000000002E-3</v>
      </c>
    </row>
    <row r="244" spans="1:6" x14ac:dyDescent="0.35">
      <c r="A244" s="2" t="s">
        <v>243</v>
      </c>
      <c r="B244" s="2">
        <v>1490.67</v>
      </c>
      <c r="C244" s="2">
        <v>1498</v>
      </c>
      <c r="D244" s="2">
        <v>1503.5</v>
      </c>
      <c r="E244" s="2">
        <v>1491.67</v>
      </c>
      <c r="F244" s="1">
        <v>-4.1999999999999997E-3</v>
      </c>
    </row>
    <row r="245" spans="1:6" x14ac:dyDescent="0.35">
      <c r="A245" s="2" t="s">
        <v>200</v>
      </c>
      <c r="B245" s="2">
        <v>1607.08</v>
      </c>
      <c r="C245" s="2">
        <v>1605.5</v>
      </c>
      <c r="D245" s="2">
        <v>1610</v>
      </c>
      <c r="E245" s="2">
        <v>1600.37</v>
      </c>
      <c r="F245" s="1">
        <v>2.2000000000000001E-3</v>
      </c>
    </row>
    <row r="246" spans="1:6" x14ac:dyDescent="0.35">
      <c r="A246" s="2" t="s">
        <v>177</v>
      </c>
      <c r="B246" s="2">
        <v>1558.845</v>
      </c>
      <c r="C246" s="2">
        <v>1577.47</v>
      </c>
      <c r="D246" s="2">
        <v>1583.425</v>
      </c>
      <c r="E246" s="2">
        <v>1554.84</v>
      </c>
      <c r="F246" s="1">
        <v>-1.18E-2</v>
      </c>
    </row>
    <row r="247" spans="1:6" x14ac:dyDescent="0.35">
      <c r="A247" s="2" t="s">
        <v>134</v>
      </c>
      <c r="B247" s="2">
        <v>1526.3150000000001</v>
      </c>
      <c r="C247" s="2">
        <v>1524.67</v>
      </c>
      <c r="D247" s="2">
        <v>1534.42</v>
      </c>
      <c r="E247" s="2">
        <v>1519.2650000000001</v>
      </c>
      <c r="F247" s="1">
        <v>5.0000000000000001E-4</v>
      </c>
    </row>
    <row r="248" spans="1:6" x14ac:dyDescent="0.35">
      <c r="A248" s="2" t="s">
        <v>111</v>
      </c>
      <c r="B248" s="2">
        <v>1528.2950000000001</v>
      </c>
      <c r="C248" s="2">
        <v>1526.19</v>
      </c>
      <c r="D248" s="2">
        <v>1529.41</v>
      </c>
      <c r="E248" s="2">
        <v>1517.51</v>
      </c>
      <c r="F248" s="1">
        <v>1.4E-3</v>
      </c>
    </row>
    <row r="249" spans="1:6" x14ac:dyDescent="0.35">
      <c r="A249" s="2" t="s">
        <v>68</v>
      </c>
      <c r="B249" s="2">
        <v>1441.0150000000001</v>
      </c>
      <c r="C249" s="2">
        <v>1440.65</v>
      </c>
      <c r="D249" s="2">
        <v>1443.14</v>
      </c>
      <c r="E249" s="2">
        <v>1434.94</v>
      </c>
      <c r="F249" s="1">
        <v>-6.9999999999999999E-4</v>
      </c>
    </row>
    <row r="250" spans="1:6" x14ac:dyDescent="0.35">
      <c r="A250" s="2" t="s">
        <v>46</v>
      </c>
      <c r="B250" s="2">
        <v>1449.665</v>
      </c>
      <c r="C250" s="2">
        <v>1449.22</v>
      </c>
      <c r="D250" s="2">
        <v>1452.08</v>
      </c>
      <c r="E250" s="2">
        <v>1446.16</v>
      </c>
      <c r="F250" s="1">
        <v>2.9999999999999997E-4</v>
      </c>
    </row>
    <row r="251" spans="1:6" x14ac:dyDescent="0.35">
      <c r="A251" s="2" t="s">
        <v>285</v>
      </c>
      <c r="B251" s="2">
        <v>1532.5</v>
      </c>
      <c r="C251" s="2">
        <v>1536</v>
      </c>
      <c r="D251" s="2">
        <v>1560</v>
      </c>
      <c r="E251" s="2">
        <v>1530</v>
      </c>
      <c r="F251" s="1">
        <v>-6.9999999999999999E-4</v>
      </c>
    </row>
    <row r="252" spans="1:6" x14ac:dyDescent="0.35">
      <c r="A252" s="2" t="s">
        <v>262</v>
      </c>
      <c r="B252" s="2">
        <v>1496.41</v>
      </c>
      <c r="C252" s="2">
        <v>1497.41</v>
      </c>
      <c r="D252" s="2">
        <v>1507.5</v>
      </c>
      <c r="E252" s="2">
        <v>1494.2049999999999</v>
      </c>
      <c r="F252" s="1">
        <v>0</v>
      </c>
    </row>
    <row r="253" spans="1:6" x14ac:dyDescent="0.35">
      <c r="A253" s="2" t="s">
        <v>242</v>
      </c>
      <c r="B253" s="2">
        <v>1499.8</v>
      </c>
      <c r="C253" s="2">
        <v>1491.67</v>
      </c>
      <c r="D253" s="2">
        <v>1514</v>
      </c>
      <c r="E253" s="2">
        <v>1491.67</v>
      </c>
      <c r="F253" s="1">
        <v>6.1000000000000004E-3</v>
      </c>
    </row>
    <row r="254" spans="1:6" x14ac:dyDescent="0.35">
      <c r="A254" s="2" t="s">
        <v>199</v>
      </c>
      <c r="B254" s="2">
        <v>1606.7349999999999</v>
      </c>
      <c r="C254" s="2">
        <v>1607.095</v>
      </c>
      <c r="D254" s="2">
        <v>1610.29</v>
      </c>
      <c r="E254" s="2">
        <v>1601.98</v>
      </c>
      <c r="F254" s="1">
        <v>-2.0000000000000001E-4</v>
      </c>
    </row>
    <row r="255" spans="1:6" x14ac:dyDescent="0.35">
      <c r="A255" s="2" t="s">
        <v>176</v>
      </c>
      <c r="B255" s="2">
        <v>1558.155</v>
      </c>
      <c r="C255" s="2">
        <v>1560.0150000000001</v>
      </c>
      <c r="D255" s="2">
        <v>1563.2449999999999</v>
      </c>
      <c r="E255" s="2">
        <v>1554.58</v>
      </c>
      <c r="F255" s="1">
        <v>-4.0000000000000002E-4</v>
      </c>
    </row>
    <row r="256" spans="1:6" x14ac:dyDescent="0.35">
      <c r="A256" s="2" t="s">
        <v>133</v>
      </c>
      <c r="B256" s="2">
        <v>1531.2</v>
      </c>
      <c r="C256" s="2">
        <v>1532.26</v>
      </c>
      <c r="D256" s="2">
        <v>1534.2049999999999</v>
      </c>
      <c r="E256" s="2">
        <v>1525.08</v>
      </c>
      <c r="F256" s="1">
        <v>3.2000000000000002E-3</v>
      </c>
    </row>
    <row r="257" spans="1:6" x14ac:dyDescent="0.35">
      <c r="A257" s="2" t="s">
        <v>90</v>
      </c>
      <c r="B257" s="2">
        <v>1471.2</v>
      </c>
      <c r="C257" s="2">
        <v>1461.53</v>
      </c>
      <c r="D257" s="2">
        <v>1472.6949999999999</v>
      </c>
      <c r="E257" s="2">
        <v>1460.2149999999999</v>
      </c>
      <c r="F257" s="1">
        <v>0</v>
      </c>
    </row>
    <row r="258" spans="1:6" x14ac:dyDescent="0.35">
      <c r="A258" s="2" t="s">
        <v>67</v>
      </c>
      <c r="B258" s="2">
        <v>1437.825</v>
      </c>
      <c r="C258" s="2">
        <v>1441.05</v>
      </c>
      <c r="D258" s="2">
        <v>1443.5650000000001</v>
      </c>
      <c r="E258" s="2">
        <v>1434.47</v>
      </c>
      <c r="F258" s="1">
        <v>-2.2000000000000001E-3</v>
      </c>
    </row>
    <row r="259" spans="1:6" x14ac:dyDescent="0.35">
      <c r="A259" s="2" t="s">
        <v>284</v>
      </c>
      <c r="B259" s="2">
        <v>1528.8</v>
      </c>
      <c r="C259" s="2">
        <v>1542.5</v>
      </c>
      <c r="D259" s="2">
        <v>1543.03</v>
      </c>
      <c r="E259" s="2">
        <v>1531.7049999999999</v>
      </c>
      <c r="F259" s="1">
        <v>-2.3999999999999998E-3</v>
      </c>
    </row>
    <row r="260" spans="1:6" x14ac:dyDescent="0.35">
      <c r="A260" s="2" t="s">
        <v>261</v>
      </c>
      <c r="B260" s="2">
        <v>1496.41</v>
      </c>
      <c r="C260" s="2">
        <v>1497.41</v>
      </c>
      <c r="D260" s="2">
        <v>1506.5</v>
      </c>
      <c r="E260" s="2">
        <v>1494.2049999999999</v>
      </c>
      <c r="F260" s="1">
        <v>0</v>
      </c>
    </row>
    <row r="261" spans="1:6" x14ac:dyDescent="0.35">
      <c r="A261" s="2" t="s">
        <v>241</v>
      </c>
      <c r="B261" s="2">
        <v>1510</v>
      </c>
      <c r="C261" s="2">
        <v>1500.8</v>
      </c>
      <c r="D261" s="2">
        <v>1522.5</v>
      </c>
      <c r="E261" s="2">
        <v>1499.9</v>
      </c>
      <c r="F261" s="1">
        <v>6.7999999999999996E-3</v>
      </c>
    </row>
    <row r="262" spans="1:6" x14ac:dyDescent="0.35">
      <c r="A262" s="2" t="s">
        <v>220</v>
      </c>
      <c r="B262" s="2">
        <v>1581.82</v>
      </c>
      <c r="C262" s="2">
        <v>1538</v>
      </c>
      <c r="D262" s="2">
        <v>1643.21</v>
      </c>
      <c r="E262" s="2">
        <v>1530.42</v>
      </c>
      <c r="F262" s="1">
        <v>3.4299999999999997E-2</v>
      </c>
    </row>
    <row r="263" spans="1:6" x14ac:dyDescent="0.35">
      <c r="A263" s="2" t="s">
        <v>198</v>
      </c>
      <c r="B263" s="2">
        <v>1607.49</v>
      </c>
      <c r="C263" s="2">
        <v>1606.7149999999999</v>
      </c>
      <c r="D263" s="2">
        <v>1613.41</v>
      </c>
      <c r="E263" s="2">
        <v>1603.65</v>
      </c>
      <c r="F263" s="1">
        <v>5.0000000000000001E-4</v>
      </c>
    </row>
    <row r="264" spans="1:6" x14ac:dyDescent="0.35">
      <c r="A264" s="2" t="s">
        <v>155</v>
      </c>
      <c r="B264" s="2">
        <v>1533.845</v>
      </c>
      <c r="C264" s="2">
        <v>1527.5</v>
      </c>
      <c r="D264" s="2">
        <v>1535.115</v>
      </c>
      <c r="E264" s="2">
        <v>1524.97</v>
      </c>
      <c r="F264" s="1">
        <v>2.3999999999999998E-3</v>
      </c>
    </row>
    <row r="265" spans="1:6" x14ac:dyDescent="0.35">
      <c r="A265" s="2" t="s">
        <v>132</v>
      </c>
      <c r="B265" s="2">
        <v>1534.4649999999999</v>
      </c>
      <c r="C265" s="2">
        <v>1530</v>
      </c>
      <c r="D265" s="2">
        <v>1536.2049999999999</v>
      </c>
      <c r="E265" s="2">
        <v>1524.875</v>
      </c>
      <c r="F265" s="1">
        <v>2.0999999999999999E-3</v>
      </c>
    </row>
    <row r="266" spans="1:6" x14ac:dyDescent="0.35">
      <c r="A266" s="2" t="s">
        <v>89</v>
      </c>
      <c r="B266" s="2">
        <v>1470.7750000000001</v>
      </c>
      <c r="C266" s="2">
        <v>1466.2</v>
      </c>
      <c r="D266" s="2">
        <v>1475.385</v>
      </c>
      <c r="E266" s="2">
        <v>1464.73</v>
      </c>
      <c r="F266" s="1">
        <v>-2.9999999999999997E-4</v>
      </c>
    </row>
    <row r="267" spans="1:6" x14ac:dyDescent="0.35">
      <c r="A267" s="2" t="s">
        <v>66</v>
      </c>
      <c r="B267" s="2">
        <v>1435.03</v>
      </c>
      <c r="C267" s="2">
        <v>1435.3</v>
      </c>
      <c r="D267" s="2">
        <v>1439.2249999999999</v>
      </c>
      <c r="E267" s="2">
        <v>1433.7</v>
      </c>
      <c r="F267" s="1">
        <v>-1.9E-3</v>
      </c>
    </row>
    <row r="268" spans="1:6" x14ac:dyDescent="0.35">
      <c r="A268" s="2" t="s">
        <v>283</v>
      </c>
      <c r="B268" s="2">
        <v>1533.83</v>
      </c>
      <c r="C268" s="2">
        <v>1538.8</v>
      </c>
      <c r="D268" s="2">
        <v>1562.5</v>
      </c>
      <c r="E268" s="2">
        <v>1531.7049999999999</v>
      </c>
      <c r="F268" s="1">
        <v>3.3E-3</v>
      </c>
    </row>
    <row r="269" spans="1:6" x14ac:dyDescent="0.35">
      <c r="A269" s="2" t="s">
        <v>219</v>
      </c>
      <c r="B269" s="2">
        <v>1547.08</v>
      </c>
      <c r="C269" s="2">
        <v>1582.82</v>
      </c>
      <c r="D269" s="2">
        <v>1623.25</v>
      </c>
      <c r="E269" s="2">
        <v>1547.665</v>
      </c>
      <c r="F269" s="1">
        <v>-2.1999999999999999E-2</v>
      </c>
    </row>
    <row r="270" spans="1:6" x14ac:dyDescent="0.35">
      <c r="A270" s="2" t="s">
        <v>197</v>
      </c>
      <c r="B270" s="2">
        <v>1610.145</v>
      </c>
      <c r="C270" s="2">
        <v>1607.4549999999999</v>
      </c>
      <c r="D270" s="2">
        <v>1612.37</v>
      </c>
      <c r="E270" s="2">
        <v>1605.5550000000001</v>
      </c>
      <c r="F270" s="1">
        <v>1.6999999999999999E-3</v>
      </c>
    </row>
    <row r="271" spans="1:6" x14ac:dyDescent="0.35">
      <c r="A271" s="2" t="s">
        <v>154</v>
      </c>
      <c r="B271" s="2">
        <v>1533.06</v>
      </c>
      <c r="C271" s="2">
        <v>1531.97</v>
      </c>
      <c r="D271" s="2">
        <v>1534.5450000000001</v>
      </c>
      <c r="E271" s="2">
        <v>1527.2349999999999</v>
      </c>
      <c r="F271" s="1">
        <v>-5.0000000000000001E-4</v>
      </c>
    </row>
    <row r="272" spans="1:6" x14ac:dyDescent="0.35">
      <c r="A272" s="2" t="s">
        <v>131</v>
      </c>
      <c r="B272" s="2">
        <v>1532.7049999999999</v>
      </c>
      <c r="C272" s="2">
        <v>1534.44</v>
      </c>
      <c r="D272" s="2">
        <v>1535.4549999999999</v>
      </c>
      <c r="E272" s="2">
        <v>1529.395</v>
      </c>
      <c r="F272" s="1">
        <v>-1.1000000000000001E-3</v>
      </c>
    </row>
    <row r="273" spans="1:6" x14ac:dyDescent="0.35">
      <c r="A273" s="2" t="s">
        <v>110</v>
      </c>
      <c r="B273" s="2">
        <v>1506.49</v>
      </c>
      <c r="C273" s="2">
        <v>1517.51</v>
      </c>
      <c r="D273" s="2">
        <v>1527.12</v>
      </c>
      <c r="E273" s="2">
        <v>1503.14</v>
      </c>
      <c r="F273" s="1">
        <v>-1.43E-2</v>
      </c>
    </row>
    <row r="274" spans="1:6" x14ac:dyDescent="0.35">
      <c r="A274" s="2" t="s">
        <v>88</v>
      </c>
      <c r="B274" s="2">
        <v>1473</v>
      </c>
      <c r="C274" s="2">
        <v>1470.7750000000001</v>
      </c>
      <c r="D274" s="2">
        <v>1475.2149999999999</v>
      </c>
      <c r="E274" s="2">
        <v>1465.75</v>
      </c>
      <c r="F274" s="1">
        <v>1.5E-3</v>
      </c>
    </row>
    <row r="275" spans="1:6" x14ac:dyDescent="0.35">
      <c r="A275" s="2" t="s">
        <v>45</v>
      </c>
      <c r="B275" s="2">
        <v>1449.39</v>
      </c>
      <c r="C275" s="2">
        <v>1447.92</v>
      </c>
      <c r="D275" s="2">
        <v>1454.575</v>
      </c>
      <c r="E275" s="2">
        <v>1447.92</v>
      </c>
      <c r="F275" s="1">
        <v>-2.0000000000000001E-4</v>
      </c>
    </row>
    <row r="276" spans="1:6" x14ac:dyDescent="0.35">
      <c r="A276" s="2" t="s">
        <v>282</v>
      </c>
      <c r="B276" s="2">
        <v>1541.29</v>
      </c>
      <c r="C276" s="2">
        <v>1543.83</v>
      </c>
      <c r="D276" s="2">
        <v>1567.145</v>
      </c>
      <c r="E276" s="2">
        <v>1533.61</v>
      </c>
      <c r="F276" s="1">
        <v>4.8999999999999998E-3</v>
      </c>
    </row>
    <row r="277" spans="1:6" x14ac:dyDescent="0.35">
      <c r="A277" s="2" t="s">
        <v>218</v>
      </c>
      <c r="B277" s="2">
        <v>1567.63</v>
      </c>
      <c r="C277" s="2">
        <v>1569.12</v>
      </c>
      <c r="D277" s="2">
        <v>1642.355</v>
      </c>
      <c r="E277" s="2">
        <v>1551.5</v>
      </c>
      <c r="F277" s="1">
        <v>1.3299999999999999E-2</v>
      </c>
    </row>
    <row r="278" spans="1:6" x14ac:dyDescent="0.35">
      <c r="A278" s="2" t="s">
        <v>196</v>
      </c>
      <c r="B278" s="2">
        <v>1607.22</v>
      </c>
      <c r="C278" s="2">
        <v>1610.165</v>
      </c>
      <c r="D278" s="2">
        <v>1613.895</v>
      </c>
      <c r="E278" s="2">
        <v>1604.625</v>
      </c>
      <c r="F278" s="1">
        <v>-1.8E-3</v>
      </c>
    </row>
    <row r="279" spans="1:6" x14ac:dyDescent="0.35">
      <c r="A279" s="2" t="s">
        <v>175</v>
      </c>
      <c r="B279" s="2">
        <v>1558.12</v>
      </c>
      <c r="C279" s="2">
        <v>1560.5</v>
      </c>
      <c r="D279" s="2">
        <v>1562.5</v>
      </c>
      <c r="E279" s="2">
        <v>1554.83</v>
      </c>
      <c r="F279" s="1">
        <v>0</v>
      </c>
    </row>
    <row r="280" spans="1:6" x14ac:dyDescent="0.35">
      <c r="A280" s="2" t="s">
        <v>153</v>
      </c>
      <c r="B280" s="2">
        <v>1532.3150000000001</v>
      </c>
      <c r="C280" s="2">
        <v>1533.105</v>
      </c>
      <c r="D280" s="2">
        <v>1535.2850000000001</v>
      </c>
      <c r="E280" s="2">
        <v>1525.92</v>
      </c>
      <c r="F280" s="1">
        <v>-5.0000000000000001E-4</v>
      </c>
    </row>
    <row r="281" spans="1:6" x14ac:dyDescent="0.35">
      <c r="A281" s="2" t="s">
        <v>109</v>
      </c>
      <c r="B281" s="2">
        <v>1506.175</v>
      </c>
      <c r="C281" s="2">
        <v>1507.73</v>
      </c>
      <c r="D281" s="2">
        <v>1512.61</v>
      </c>
      <c r="E281" s="2">
        <v>1503.11</v>
      </c>
      <c r="F281" s="1">
        <v>-2.0000000000000001E-4</v>
      </c>
    </row>
    <row r="282" spans="1:6" x14ac:dyDescent="0.35">
      <c r="A282" s="2" t="s">
        <v>87</v>
      </c>
      <c r="B282" s="2">
        <v>1475.835</v>
      </c>
      <c r="C282" s="2">
        <v>1470.6</v>
      </c>
      <c r="D282" s="2">
        <v>1476.2249999999999</v>
      </c>
      <c r="E282" s="2">
        <v>1467.76</v>
      </c>
      <c r="F282" s="1">
        <v>1.9E-3</v>
      </c>
    </row>
    <row r="283" spans="1:6" x14ac:dyDescent="0.35">
      <c r="A283" s="2" t="s">
        <v>44</v>
      </c>
      <c r="B283" s="2">
        <v>1451.51</v>
      </c>
      <c r="C283" s="2">
        <v>1451.28</v>
      </c>
      <c r="D283" s="2">
        <v>1455.19</v>
      </c>
      <c r="E283" s="2">
        <v>1449.2550000000001</v>
      </c>
      <c r="F283" s="1">
        <v>1.5E-3</v>
      </c>
    </row>
    <row r="284" spans="1:6" x14ac:dyDescent="0.35">
      <c r="A284" s="2" t="s">
        <v>281</v>
      </c>
      <c r="B284" s="2">
        <v>1541.67</v>
      </c>
      <c r="C284" s="2">
        <v>1551.29</v>
      </c>
      <c r="D284" s="2">
        <v>1565.835</v>
      </c>
      <c r="E284" s="2">
        <v>1533.61</v>
      </c>
      <c r="F284" s="1">
        <v>2.0000000000000001E-4</v>
      </c>
    </row>
    <row r="285" spans="1:6" x14ac:dyDescent="0.35">
      <c r="A285" s="2" t="s">
        <v>260</v>
      </c>
      <c r="B285" s="2">
        <v>1496.41</v>
      </c>
      <c r="C285" s="2">
        <v>1497.41</v>
      </c>
      <c r="D285" s="2">
        <v>1511</v>
      </c>
      <c r="E285" s="2">
        <v>1494.2049999999999</v>
      </c>
      <c r="F285" s="1">
        <v>0</v>
      </c>
    </row>
    <row r="286" spans="1:6" x14ac:dyDescent="0.35">
      <c r="A286" s="2" t="s">
        <v>240</v>
      </c>
      <c r="B286" s="2">
        <v>1534</v>
      </c>
      <c r="C286" s="2">
        <v>1512.3</v>
      </c>
      <c r="D286" s="2">
        <v>1540</v>
      </c>
      <c r="E286" s="2">
        <v>1509.15</v>
      </c>
      <c r="F286" s="1">
        <v>1.5900000000000001E-2</v>
      </c>
    </row>
    <row r="287" spans="1:6" x14ac:dyDescent="0.35">
      <c r="A287" s="2" t="s">
        <v>217</v>
      </c>
      <c r="B287" s="2">
        <v>1587.12</v>
      </c>
      <c r="C287" s="2">
        <v>1586.1</v>
      </c>
      <c r="D287" s="2">
        <v>1622.03</v>
      </c>
      <c r="E287" s="2">
        <v>1567.375</v>
      </c>
      <c r="F287" s="1">
        <v>1.24E-2</v>
      </c>
    </row>
    <row r="288" spans="1:6" x14ac:dyDescent="0.35">
      <c r="A288" s="2" t="s">
        <v>174</v>
      </c>
      <c r="B288" s="2">
        <v>1544.19</v>
      </c>
      <c r="C288" s="2">
        <v>1558.105</v>
      </c>
      <c r="D288" s="2">
        <v>1560.0150000000001</v>
      </c>
      <c r="E288" s="2">
        <v>1539.42</v>
      </c>
      <c r="F288" s="1">
        <v>-8.8999999999999999E-3</v>
      </c>
    </row>
    <row r="289" spans="1:6" x14ac:dyDescent="0.35">
      <c r="A289" s="2" t="s">
        <v>152</v>
      </c>
      <c r="B289" s="2">
        <v>1530.395</v>
      </c>
      <c r="C289" s="2">
        <v>1532.21</v>
      </c>
      <c r="D289" s="2">
        <v>1534.5</v>
      </c>
      <c r="E289" s="2">
        <v>1523.165</v>
      </c>
      <c r="F289" s="1">
        <v>-1.2999999999999999E-3</v>
      </c>
    </row>
    <row r="290" spans="1:6" x14ac:dyDescent="0.35">
      <c r="A290" s="2" t="s">
        <v>108</v>
      </c>
      <c r="B290" s="2">
        <v>1503.63</v>
      </c>
      <c r="C290" s="2">
        <v>1506.16</v>
      </c>
      <c r="D290" s="2">
        <v>1514.5</v>
      </c>
      <c r="E290" s="2">
        <v>1500.99</v>
      </c>
      <c r="F290" s="1">
        <v>-1.6999999999999999E-3</v>
      </c>
    </row>
    <row r="291" spans="1:6" x14ac:dyDescent="0.35">
      <c r="A291" s="2" t="s">
        <v>86</v>
      </c>
      <c r="B291" s="2">
        <v>1462.11</v>
      </c>
      <c r="C291" s="2">
        <v>1475.8150000000001</v>
      </c>
      <c r="D291" s="2">
        <v>1503.75</v>
      </c>
      <c r="E291" s="2">
        <v>1457.7650000000001</v>
      </c>
      <c r="F291" s="1">
        <v>-9.2999999999999992E-3</v>
      </c>
    </row>
    <row r="292" spans="1:6" x14ac:dyDescent="0.35">
      <c r="A292" s="2" t="s">
        <v>65</v>
      </c>
      <c r="B292" s="2">
        <v>1438.4949999999999</v>
      </c>
      <c r="C292" s="2">
        <v>1435.03</v>
      </c>
      <c r="D292" s="2">
        <v>1440.8150000000001</v>
      </c>
      <c r="E292" s="2">
        <v>1433.84</v>
      </c>
      <c r="F292" s="1">
        <v>2.3999999999999998E-3</v>
      </c>
    </row>
    <row r="293" spans="1:6" x14ac:dyDescent="0.35">
      <c r="A293" s="2" t="s">
        <v>43</v>
      </c>
      <c r="B293" s="2">
        <v>1454.33</v>
      </c>
      <c r="C293" s="2">
        <v>1451.5</v>
      </c>
      <c r="D293" s="2">
        <v>1457.23</v>
      </c>
      <c r="E293" s="2">
        <v>1450.1</v>
      </c>
      <c r="F293" s="1">
        <v>1.9E-3</v>
      </c>
    </row>
    <row r="294" spans="1:6" x14ac:dyDescent="0.35">
      <c r="A294" s="2" t="s">
        <v>259</v>
      </c>
      <c r="B294" s="2">
        <v>1498.78</v>
      </c>
      <c r="C294" s="2">
        <v>1497.41</v>
      </c>
      <c r="D294" s="2">
        <v>1505</v>
      </c>
      <c r="E294" s="2">
        <v>1497.41</v>
      </c>
      <c r="F294" s="1">
        <v>1.6000000000000001E-3</v>
      </c>
    </row>
    <row r="295" spans="1:6" x14ac:dyDescent="0.35">
      <c r="A295" s="2" t="s">
        <v>239</v>
      </c>
      <c r="B295" s="2">
        <v>1528</v>
      </c>
      <c r="C295" s="2">
        <v>1535</v>
      </c>
      <c r="D295" s="2">
        <v>1538</v>
      </c>
      <c r="E295" s="2">
        <v>1515</v>
      </c>
      <c r="F295" s="1">
        <v>-3.8999999999999998E-3</v>
      </c>
    </row>
    <row r="296" spans="1:6" x14ac:dyDescent="0.35">
      <c r="A296" s="2" t="s">
        <v>216</v>
      </c>
      <c r="B296" s="2">
        <v>1597.13</v>
      </c>
      <c r="C296" s="2">
        <v>1589.5</v>
      </c>
      <c r="D296" s="2">
        <v>1627.73</v>
      </c>
      <c r="E296" s="2">
        <v>1585.845</v>
      </c>
      <c r="F296" s="1">
        <v>6.3E-3</v>
      </c>
    </row>
    <row r="297" spans="1:6" x14ac:dyDescent="0.35">
      <c r="A297" s="2" t="s">
        <v>173</v>
      </c>
      <c r="B297" s="2">
        <v>1543.1</v>
      </c>
      <c r="C297" s="2">
        <v>1544.165</v>
      </c>
      <c r="D297" s="2">
        <v>1559</v>
      </c>
      <c r="E297" s="2">
        <v>1538.5</v>
      </c>
      <c r="F297" s="1">
        <v>-6.9999999999999999E-4</v>
      </c>
    </row>
    <row r="298" spans="1:6" x14ac:dyDescent="0.35">
      <c r="A298" s="2" t="s">
        <v>151</v>
      </c>
      <c r="B298" s="2">
        <v>1531.0350000000001</v>
      </c>
      <c r="C298" s="2">
        <v>1530.395</v>
      </c>
      <c r="D298" s="2">
        <v>1534.2750000000001</v>
      </c>
      <c r="E298" s="2">
        <v>1524.09</v>
      </c>
      <c r="F298" s="1">
        <v>4.0000000000000002E-4</v>
      </c>
    </row>
    <row r="299" spans="1:6" x14ac:dyDescent="0.35">
      <c r="A299" s="2" t="s">
        <v>130</v>
      </c>
      <c r="B299" s="2">
        <v>1536.13</v>
      </c>
      <c r="C299" s="2">
        <v>1532</v>
      </c>
      <c r="D299" s="2">
        <v>1536.69</v>
      </c>
      <c r="E299" s="2">
        <v>1530.03</v>
      </c>
      <c r="F299" s="1">
        <v>2.2000000000000001E-3</v>
      </c>
    </row>
    <row r="300" spans="1:6" x14ac:dyDescent="0.35">
      <c r="A300" s="2" t="s">
        <v>107</v>
      </c>
      <c r="B300" s="2">
        <v>1504.7</v>
      </c>
      <c r="C300" s="2">
        <v>1504.075</v>
      </c>
      <c r="D300" s="2">
        <v>1508.45</v>
      </c>
      <c r="E300" s="2">
        <v>1498</v>
      </c>
      <c r="F300" s="1">
        <v>6.9999999999999999E-4</v>
      </c>
    </row>
    <row r="301" spans="1:6" x14ac:dyDescent="0.35">
      <c r="A301" s="2" t="s">
        <v>64</v>
      </c>
      <c r="B301" s="2">
        <v>1439.56</v>
      </c>
      <c r="C301" s="2">
        <v>1438.5</v>
      </c>
      <c r="D301" s="2">
        <v>1441.0550000000001</v>
      </c>
      <c r="E301" s="2">
        <v>1434.92</v>
      </c>
      <c r="F301" s="1">
        <v>6.9999999999999999E-4</v>
      </c>
    </row>
    <row r="302" spans="1:6" x14ac:dyDescent="0.35">
      <c r="A302" s="2" t="s">
        <v>42</v>
      </c>
      <c r="B302" s="2">
        <v>1452.5650000000001</v>
      </c>
      <c r="C302" s="2">
        <v>1454.33</v>
      </c>
      <c r="D302" s="2">
        <v>1456.7249999999999</v>
      </c>
      <c r="E302" s="2">
        <v>1447</v>
      </c>
      <c r="F302" s="1">
        <v>-1.1999999999999999E-3</v>
      </c>
    </row>
    <row r="303" spans="1:6" x14ac:dyDescent="0.35">
      <c r="A303" s="2" t="s">
        <v>258</v>
      </c>
      <c r="B303" s="2">
        <v>1498.78</v>
      </c>
      <c r="C303" s="2">
        <v>1499.78</v>
      </c>
      <c r="D303" s="2">
        <v>1515</v>
      </c>
      <c r="E303" s="2">
        <v>1497.89</v>
      </c>
      <c r="F303" s="1">
        <v>0</v>
      </c>
    </row>
    <row r="304" spans="1:6" x14ac:dyDescent="0.35">
      <c r="A304" s="2" t="s">
        <v>238</v>
      </c>
      <c r="B304" s="2">
        <v>1531</v>
      </c>
      <c r="C304" s="2">
        <v>1529</v>
      </c>
      <c r="D304" s="2">
        <v>1552.5</v>
      </c>
      <c r="E304" s="2">
        <v>1529</v>
      </c>
      <c r="F304" s="1">
        <v>2E-3</v>
      </c>
    </row>
    <row r="305" spans="1:6" x14ac:dyDescent="0.35">
      <c r="A305" s="2" t="s">
        <v>195</v>
      </c>
      <c r="B305" s="2">
        <v>1603.3050000000001</v>
      </c>
      <c r="C305" s="2">
        <v>1608</v>
      </c>
      <c r="D305" s="2">
        <v>1613.21</v>
      </c>
      <c r="E305" s="2">
        <v>1598.7</v>
      </c>
      <c r="F305" s="1">
        <v>-2.3999999999999998E-3</v>
      </c>
    </row>
    <row r="306" spans="1:6" x14ac:dyDescent="0.35">
      <c r="A306" s="2" t="s">
        <v>172</v>
      </c>
      <c r="B306" s="2">
        <v>1540.38</v>
      </c>
      <c r="C306" s="2">
        <v>1559</v>
      </c>
      <c r="D306" s="2">
        <v>1559</v>
      </c>
      <c r="E306" s="2">
        <v>1533</v>
      </c>
      <c r="F306" s="1">
        <v>-1.8E-3</v>
      </c>
    </row>
    <row r="307" spans="1:6" x14ac:dyDescent="0.35">
      <c r="A307" s="2" t="s">
        <v>129</v>
      </c>
      <c r="B307" s="2">
        <v>1536.2049999999999</v>
      </c>
      <c r="C307" s="2">
        <v>1536.145</v>
      </c>
      <c r="D307" s="2">
        <v>1538.0550000000001</v>
      </c>
      <c r="E307" s="2">
        <v>1533.855</v>
      </c>
      <c r="F307" s="1">
        <v>0</v>
      </c>
    </row>
    <row r="308" spans="1:6" x14ac:dyDescent="0.35">
      <c r="A308" s="2" t="s">
        <v>106</v>
      </c>
      <c r="B308" s="2">
        <v>1499.59</v>
      </c>
      <c r="C308" s="2">
        <v>1502.27</v>
      </c>
      <c r="D308" s="2">
        <v>1504.62</v>
      </c>
      <c r="E308" s="2">
        <v>1499.04</v>
      </c>
      <c r="F308" s="1">
        <v>-3.3999999999999998E-3</v>
      </c>
    </row>
    <row r="309" spans="1:6" x14ac:dyDescent="0.35">
      <c r="A309" s="2" t="s">
        <v>63</v>
      </c>
      <c r="B309" s="2">
        <v>1440.85</v>
      </c>
      <c r="C309" s="2">
        <v>1435.23</v>
      </c>
      <c r="D309" s="2">
        <v>1442.82</v>
      </c>
      <c r="E309" s="2">
        <v>1435.23</v>
      </c>
      <c r="F309" s="1">
        <v>8.9999999999999998E-4</v>
      </c>
    </row>
    <row r="310" spans="1:6" x14ac:dyDescent="0.35">
      <c r="A310" s="2" t="s">
        <v>41</v>
      </c>
      <c r="B310" s="2">
        <v>1453.135</v>
      </c>
      <c r="C310" s="2">
        <v>1452.7950000000001</v>
      </c>
      <c r="D310" s="2">
        <v>1459</v>
      </c>
      <c r="E310" s="2">
        <v>1447.79</v>
      </c>
      <c r="F310" s="1">
        <v>4.0000000000000002E-4</v>
      </c>
    </row>
    <row r="311" spans="1:6" x14ac:dyDescent="0.35">
      <c r="A311" s="2" t="s">
        <v>27</v>
      </c>
      <c r="B311" s="2">
        <v>1446.5</v>
      </c>
      <c r="C311" s="2">
        <v>1444.575</v>
      </c>
      <c r="D311" s="2">
        <v>1446.5</v>
      </c>
      <c r="E311" s="2">
        <v>1441.7</v>
      </c>
      <c r="F311" s="1">
        <v>1.2999999999999999E-3</v>
      </c>
    </row>
    <row r="312" spans="1:6" x14ac:dyDescent="0.35">
      <c r="A312" s="2" t="s">
        <v>26</v>
      </c>
      <c r="B312" s="2">
        <v>1433.73</v>
      </c>
      <c r="C312" s="2">
        <v>1441.7</v>
      </c>
      <c r="D312" s="2">
        <v>1446.5</v>
      </c>
      <c r="E312" s="2">
        <v>1428.6849999999999</v>
      </c>
      <c r="F312" s="1">
        <v>-8.8000000000000005E-3</v>
      </c>
    </row>
    <row r="313" spans="1:6" x14ac:dyDescent="0.35">
      <c r="A313" s="2" t="s">
        <v>25</v>
      </c>
      <c r="B313" s="2">
        <v>1433.54</v>
      </c>
      <c r="C313" s="2">
        <v>1436</v>
      </c>
      <c r="D313" s="2">
        <v>1446.375</v>
      </c>
      <c r="E313" s="2">
        <v>1430.375</v>
      </c>
      <c r="F313" s="1">
        <v>-1E-4</v>
      </c>
    </row>
    <row r="314" spans="1:6" x14ac:dyDescent="0.35">
      <c r="A314" s="2" t="s">
        <v>24</v>
      </c>
      <c r="B314" s="2">
        <v>1424.415</v>
      </c>
      <c r="C314" s="2">
        <v>1433.57</v>
      </c>
      <c r="D314" s="2">
        <v>1435.5450000000001</v>
      </c>
      <c r="E314" s="2">
        <v>1423.3150000000001</v>
      </c>
      <c r="F314" s="1">
        <v>-6.4000000000000003E-3</v>
      </c>
    </row>
    <row r="315" spans="1:6" x14ac:dyDescent="0.35">
      <c r="A315" s="2" t="s">
        <v>23</v>
      </c>
      <c r="B315" s="2">
        <v>1422.41</v>
      </c>
      <c r="C315" s="2">
        <v>1424.36</v>
      </c>
      <c r="D315" s="2">
        <v>1431.5</v>
      </c>
      <c r="E315" s="2">
        <v>1412.5250000000001</v>
      </c>
      <c r="F315" s="1">
        <v>-1.4E-3</v>
      </c>
    </row>
    <row r="316" spans="1:6" x14ac:dyDescent="0.35">
      <c r="A316" s="2" t="s">
        <v>22</v>
      </c>
      <c r="B316" s="2">
        <v>1424.175</v>
      </c>
      <c r="C316" s="2">
        <v>1422.655</v>
      </c>
      <c r="D316" s="2">
        <v>1427</v>
      </c>
      <c r="E316" s="2">
        <v>1418.75</v>
      </c>
      <c r="F316" s="1">
        <v>1.1999999999999999E-3</v>
      </c>
    </row>
    <row r="317" spans="1:6" x14ac:dyDescent="0.35">
      <c r="A317" s="2" t="s">
        <v>21</v>
      </c>
      <c r="B317" s="2">
        <v>1428.87</v>
      </c>
      <c r="C317" s="2">
        <v>1424.2049999999999</v>
      </c>
      <c r="D317" s="2">
        <v>1429.655</v>
      </c>
      <c r="E317" s="2">
        <v>1418.895</v>
      </c>
      <c r="F317" s="1">
        <v>3.3E-3</v>
      </c>
    </row>
    <row r="318" spans="1:6" x14ac:dyDescent="0.35">
      <c r="A318" s="2" t="s">
        <v>20</v>
      </c>
      <c r="B318" s="2">
        <v>1424.0650000000001</v>
      </c>
      <c r="C318" s="2">
        <v>1420.66</v>
      </c>
      <c r="D318" s="2">
        <v>1428.08</v>
      </c>
      <c r="E318" s="2">
        <v>1419.73</v>
      </c>
      <c r="F318" s="1">
        <v>-3.3999999999999998E-3</v>
      </c>
    </row>
    <row r="319" spans="1:6" x14ac:dyDescent="0.35">
      <c r="A319" s="2" t="s">
        <v>801</v>
      </c>
      <c r="B319" s="2">
        <v>452.09</v>
      </c>
      <c r="C319" s="2">
        <v>452.13</v>
      </c>
      <c r="D319" s="2">
        <v>452.59</v>
      </c>
      <c r="E319" s="2">
        <v>452.13</v>
      </c>
      <c r="F319" s="1">
        <v>1E-3</v>
      </c>
    </row>
    <row r="320" spans="1:6" x14ac:dyDescent="0.35">
      <c r="A320" s="2" t="s">
        <v>280</v>
      </c>
      <c r="B320" s="2">
        <v>1539.33</v>
      </c>
      <c r="C320" s="2">
        <v>1533.61</v>
      </c>
      <c r="D320" s="2">
        <v>1565.835</v>
      </c>
      <c r="E320" s="2">
        <v>1533.61</v>
      </c>
      <c r="F320" s="1">
        <v>-1.5E-3</v>
      </c>
    </row>
    <row r="321" spans="1:6" x14ac:dyDescent="0.35">
      <c r="A321" s="2" t="s">
        <v>19</v>
      </c>
      <c r="B321" s="2">
        <v>1421.9849999999999</v>
      </c>
      <c r="C321" s="2">
        <v>1424.075</v>
      </c>
      <c r="D321" s="2">
        <v>1425.635</v>
      </c>
      <c r="E321" s="2">
        <v>1419.05</v>
      </c>
      <c r="F321" s="1">
        <v>-1.5E-3</v>
      </c>
    </row>
    <row r="322" spans="1:6" x14ac:dyDescent="0.35">
      <c r="A322" s="2" t="s">
        <v>780</v>
      </c>
      <c r="B322" s="2">
        <v>460.02</v>
      </c>
      <c r="C322" s="2">
        <v>459.49</v>
      </c>
      <c r="D322" s="2">
        <v>460.52</v>
      </c>
      <c r="E322" s="2">
        <v>459.49</v>
      </c>
      <c r="F322" s="1">
        <v>2.2000000000000001E-3</v>
      </c>
    </row>
    <row r="323" spans="1:6" x14ac:dyDescent="0.35">
      <c r="A323" s="2" t="s">
        <v>519</v>
      </c>
      <c r="B323" s="2">
        <v>1514.59</v>
      </c>
      <c r="C323" s="2">
        <v>1481.98</v>
      </c>
      <c r="D323" s="2">
        <v>1517.2950000000001</v>
      </c>
      <c r="E323" s="2">
        <v>1449.5</v>
      </c>
      <c r="F323" s="1">
        <v>9.7000000000000003E-3</v>
      </c>
    </row>
    <row r="324" spans="1:6" x14ac:dyDescent="0.35">
      <c r="A324" s="2" t="s">
        <v>257</v>
      </c>
      <c r="B324" s="2">
        <v>1500</v>
      </c>
      <c r="C324" s="2">
        <v>1499.78</v>
      </c>
      <c r="D324" s="2">
        <v>1540</v>
      </c>
      <c r="E324" s="2">
        <v>1490</v>
      </c>
      <c r="F324" s="1">
        <v>8.0000000000000004E-4</v>
      </c>
    </row>
    <row r="325" spans="1:6" x14ac:dyDescent="0.35">
      <c r="A325" s="2" t="s">
        <v>760</v>
      </c>
      <c r="B325" s="2">
        <v>460.02</v>
      </c>
      <c r="C325" s="2">
        <v>460.52</v>
      </c>
      <c r="D325" s="2">
        <v>460.53</v>
      </c>
      <c r="E325" s="2">
        <v>460.52</v>
      </c>
      <c r="F325" s="1">
        <v>0</v>
      </c>
    </row>
    <row r="326" spans="1:6" x14ac:dyDescent="0.35">
      <c r="A326" s="2" t="s">
        <v>498</v>
      </c>
      <c r="B326" s="2">
        <v>1592.91</v>
      </c>
      <c r="C326" s="2">
        <v>1612.78</v>
      </c>
      <c r="D326" s="2">
        <v>1612.78</v>
      </c>
      <c r="E326" s="2">
        <v>1580.25</v>
      </c>
      <c r="F326" s="1">
        <v>-1.17E-2</v>
      </c>
    </row>
    <row r="327" spans="1:6" x14ac:dyDescent="0.35">
      <c r="A327" s="2" t="s">
        <v>237</v>
      </c>
      <c r="B327" s="2">
        <v>1550</v>
      </c>
      <c r="C327" s="2">
        <v>1532</v>
      </c>
      <c r="D327" s="2">
        <v>1560</v>
      </c>
      <c r="E327" s="2">
        <v>1507.5</v>
      </c>
      <c r="F327" s="1">
        <v>1.24E-2</v>
      </c>
    </row>
    <row r="328" spans="1:6" x14ac:dyDescent="0.35">
      <c r="A328" s="2" t="s">
        <v>737</v>
      </c>
      <c r="B328" s="2">
        <v>459.93</v>
      </c>
      <c r="C328" s="2">
        <v>460.33</v>
      </c>
      <c r="D328" s="2">
        <v>460.43</v>
      </c>
      <c r="E328" s="2">
        <v>460.32</v>
      </c>
      <c r="F328" s="1">
        <v>2.0000000000000001E-4</v>
      </c>
    </row>
    <row r="329" spans="1:6" x14ac:dyDescent="0.35">
      <c r="A329" s="2" t="s">
        <v>455</v>
      </c>
      <c r="B329" s="2">
        <v>1419.9</v>
      </c>
      <c r="C329" s="2">
        <v>1440.8</v>
      </c>
      <c r="D329" s="2">
        <v>1475</v>
      </c>
      <c r="E329" s="2">
        <v>1395</v>
      </c>
      <c r="F329" s="1">
        <v>-1.38E-2</v>
      </c>
    </row>
    <row r="330" spans="1:6" x14ac:dyDescent="0.35">
      <c r="A330" s="2" t="s">
        <v>194</v>
      </c>
      <c r="B330" s="2">
        <v>1601.88</v>
      </c>
      <c r="C330" s="2">
        <v>1606.15</v>
      </c>
      <c r="D330" s="2">
        <v>1606.575</v>
      </c>
      <c r="E330" s="2">
        <v>1597.82</v>
      </c>
      <c r="F330" s="1">
        <v>-8.9999999999999998E-4</v>
      </c>
    </row>
    <row r="331" spans="1:6" x14ac:dyDescent="0.35">
      <c r="A331" s="2" t="s">
        <v>694</v>
      </c>
      <c r="B331" s="2">
        <v>462.38</v>
      </c>
      <c r="C331" s="2">
        <v>462.4</v>
      </c>
      <c r="D331" s="2">
        <v>474.5</v>
      </c>
      <c r="E331" s="2">
        <v>462.38</v>
      </c>
      <c r="F331" s="1">
        <v>1E-3</v>
      </c>
    </row>
    <row r="332" spans="1:6" x14ac:dyDescent="0.35">
      <c r="A332" s="2" t="s">
        <v>432</v>
      </c>
      <c r="B332" s="2">
        <v>1525</v>
      </c>
      <c r="C332" s="2">
        <v>1525</v>
      </c>
      <c r="D332" s="2">
        <v>1525.0250000000001</v>
      </c>
      <c r="E332" s="2">
        <v>1466</v>
      </c>
      <c r="F332" s="1">
        <v>0</v>
      </c>
    </row>
    <row r="333" spans="1:6" x14ac:dyDescent="0.35">
      <c r="A333" s="2" t="s">
        <v>171</v>
      </c>
      <c r="B333" s="2">
        <v>1544.875</v>
      </c>
      <c r="C333" s="2">
        <v>1541.5050000000001</v>
      </c>
      <c r="D333" s="2">
        <v>1562.5</v>
      </c>
      <c r="E333" s="2">
        <v>1537.9</v>
      </c>
      <c r="F333" s="1">
        <v>2.8999999999999998E-3</v>
      </c>
    </row>
    <row r="334" spans="1:6" x14ac:dyDescent="0.35">
      <c r="A334" s="2" t="s">
        <v>672</v>
      </c>
      <c r="B334" s="2">
        <v>776</v>
      </c>
      <c r="C334" s="2">
        <v>776.5</v>
      </c>
      <c r="D334" s="2">
        <v>799.5</v>
      </c>
      <c r="E334" s="2">
        <v>776.5</v>
      </c>
      <c r="F334" s="1">
        <v>1.2999999999999999E-3</v>
      </c>
    </row>
    <row r="335" spans="1:6" x14ac:dyDescent="0.35">
      <c r="A335" s="2" t="s">
        <v>389</v>
      </c>
      <c r="B335" s="2">
        <v>1590</v>
      </c>
      <c r="C335" s="2">
        <v>1590</v>
      </c>
      <c r="D335" s="2">
        <v>1611.51</v>
      </c>
      <c r="E335" s="2">
        <v>1552.5</v>
      </c>
      <c r="F335" s="1">
        <v>0</v>
      </c>
    </row>
    <row r="336" spans="1:6" x14ac:dyDescent="0.35">
      <c r="A336" s="2" t="s">
        <v>128</v>
      </c>
      <c r="B336" s="2">
        <v>1531.8</v>
      </c>
      <c r="C336" s="2">
        <v>1534</v>
      </c>
      <c r="D336" s="2">
        <v>1537.5650000000001</v>
      </c>
      <c r="E336" s="2">
        <v>1531.625</v>
      </c>
      <c r="F336" s="1">
        <v>-2.8999999999999998E-3</v>
      </c>
    </row>
    <row r="337" spans="1:6" x14ac:dyDescent="0.35">
      <c r="A337" s="2" t="s">
        <v>628</v>
      </c>
      <c r="B337" s="2">
        <v>746.18</v>
      </c>
      <c r="C337" s="2">
        <v>770.83</v>
      </c>
      <c r="D337" s="2">
        <v>770.83</v>
      </c>
      <c r="E337" s="2">
        <v>744.5</v>
      </c>
      <c r="F337" s="1">
        <v>-3.1399999999999997E-2</v>
      </c>
    </row>
    <row r="338" spans="1:6" x14ac:dyDescent="0.35">
      <c r="A338" s="2" t="s">
        <v>366</v>
      </c>
      <c r="B338" s="2">
        <v>1639.2</v>
      </c>
      <c r="C338" s="2">
        <v>1655</v>
      </c>
      <c r="D338" s="2">
        <v>1662.5650000000001</v>
      </c>
      <c r="E338" s="2">
        <v>1581.21</v>
      </c>
      <c r="F338" s="1">
        <v>-9.4999999999999998E-3</v>
      </c>
    </row>
    <row r="339" spans="1:6" x14ac:dyDescent="0.35">
      <c r="A339" s="2" t="s">
        <v>606</v>
      </c>
      <c r="B339" s="2">
        <v>769.51</v>
      </c>
      <c r="C339" s="2">
        <v>768.6</v>
      </c>
      <c r="D339" s="2">
        <v>775.5</v>
      </c>
      <c r="E339" s="2">
        <v>768.6</v>
      </c>
      <c r="F339" s="1">
        <v>2E-3</v>
      </c>
    </row>
    <row r="340" spans="1:6" x14ac:dyDescent="0.35">
      <c r="A340" s="2" t="s">
        <v>85</v>
      </c>
      <c r="B340" s="2">
        <v>1460.1849999999999</v>
      </c>
      <c r="C340" s="2">
        <v>1459.73</v>
      </c>
      <c r="D340" s="2">
        <v>1464.5</v>
      </c>
      <c r="E340" s="2">
        <v>1454.17</v>
      </c>
      <c r="F340" s="1">
        <v>-1.2999999999999999E-3</v>
      </c>
    </row>
    <row r="341" spans="1:6" x14ac:dyDescent="0.35">
      <c r="A341" s="2" t="s">
        <v>585</v>
      </c>
      <c r="B341" s="2">
        <v>802</v>
      </c>
      <c r="C341" s="2">
        <v>803</v>
      </c>
      <c r="D341" s="2">
        <v>803</v>
      </c>
      <c r="E341" s="2">
        <v>803</v>
      </c>
      <c r="F341" s="1">
        <v>0</v>
      </c>
    </row>
    <row r="342" spans="1:6" x14ac:dyDescent="0.35">
      <c r="A342" s="2" t="s">
        <v>323</v>
      </c>
      <c r="B342" s="2">
        <v>1667.91</v>
      </c>
      <c r="C342" s="2">
        <v>1675.35</v>
      </c>
      <c r="D342" s="2">
        <v>1717.5</v>
      </c>
      <c r="E342" s="2">
        <v>1675.35</v>
      </c>
      <c r="F342" s="1">
        <v>2.7000000000000001E-3</v>
      </c>
    </row>
    <row r="343" spans="1:6" x14ac:dyDescent="0.35">
      <c r="A343" s="2" t="s">
        <v>62</v>
      </c>
      <c r="B343" s="2">
        <v>1440.665</v>
      </c>
      <c r="C343" s="2">
        <v>1443.33</v>
      </c>
      <c r="D343" s="2">
        <v>1445.365</v>
      </c>
      <c r="E343" s="2">
        <v>1437.37</v>
      </c>
      <c r="F343" s="1">
        <v>-1E-4</v>
      </c>
    </row>
    <row r="344" spans="1:6" x14ac:dyDescent="0.35">
      <c r="A344" s="2" t="s">
        <v>563</v>
      </c>
      <c r="B344" s="2">
        <v>802</v>
      </c>
      <c r="C344" s="2">
        <v>802.42</v>
      </c>
      <c r="D344" s="2">
        <v>803.5</v>
      </c>
      <c r="E344" s="2">
        <v>789.5</v>
      </c>
      <c r="F344" s="1">
        <v>6.9999999999999999E-4</v>
      </c>
    </row>
    <row r="345" spans="1:6" x14ac:dyDescent="0.35">
      <c r="A345" s="2" t="s">
        <v>301</v>
      </c>
      <c r="B345" s="2">
        <v>1539.5</v>
      </c>
      <c r="C345" s="2">
        <v>1547.45</v>
      </c>
      <c r="D345" s="2">
        <v>1549.5</v>
      </c>
      <c r="E345" s="2">
        <v>1533.09</v>
      </c>
      <c r="F345" s="1">
        <v>1.2999999999999999E-3</v>
      </c>
    </row>
    <row r="346" spans="1:6" x14ac:dyDescent="0.35">
      <c r="A346" s="2" t="s">
        <v>279</v>
      </c>
      <c r="B346" s="2">
        <v>1543.57</v>
      </c>
      <c r="C346" s="2">
        <v>1549.33</v>
      </c>
      <c r="D346" s="2">
        <v>1570.425</v>
      </c>
      <c r="E346" s="2">
        <v>1541.18</v>
      </c>
      <c r="F346" s="1">
        <v>2.8E-3</v>
      </c>
    </row>
    <row r="347" spans="1:6" x14ac:dyDescent="0.35">
      <c r="A347" s="2" t="s">
        <v>18</v>
      </c>
      <c r="B347" s="2">
        <v>1421.7349999999999</v>
      </c>
      <c r="C347" s="2">
        <v>1421.9949999999999</v>
      </c>
      <c r="D347" s="2">
        <v>1426.5</v>
      </c>
      <c r="E347" s="2">
        <v>1418.11</v>
      </c>
      <c r="F347" s="1">
        <v>-2.0000000000000001E-4</v>
      </c>
    </row>
    <row r="348" spans="1:6" x14ac:dyDescent="0.35">
      <c r="A348" s="2" t="s">
        <v>779</v>
      </c>
      <c r="B348" s="2">
        <v>460.06</v>
      </c>
      <c r="C348" s="2">
        <v>460.52</v>
      </c>
      <c r="D348" s="2">
        <v>460.56</v>
      </c>
      <c r="E348" s="2">
        <v>460.52</v>
      </c>
      <c r="F348" s="1">
        <v>1E-4</v>
      </c>
    </row>
    <row r="349" spans="1:6" x14ac:dyDescent="0.35">
      <c r="A349" s="2" t="s">
        <v>518</v>
      </c>
      <c r="B349" s="2">
        <v>1514.59</v>
      </c>
      <c r="C349" s="2">
        <v>1515.59</v>
      </c>
      <c r="D349" s="2">
        <v>1516.7950000000001</v>
      </c>
      <c r="E349" s="2">
        <v>1449.5</v>
      </c>
      <c r="F349" s="1">
        <v>0</v>
      </c>
    </row>
    <row r="350" spans="1:6" x14ac:dyDescent="0.35">
      <c r="A350" s="2" t="s">
        <v>256</v>
      </c>
      <c r="B350" s="2">
        <v>1509</v>
      </c>
      <c r="C350" s="2">
        <v>1504.3</v>
      </c>
      <c r="D350" s="2">
        <v>1515</v>
      </c>
      <c r="E350" s="2">
        <v>1502.65</v>
      </c>
      <c r="F350" s="1">
        <v>6.0000000000000001E-3</v>
      </c>
    </row>
    <row r="351" spans="1:6" x14ac:dyDescent="0.35">
      <c r="A351" s="2" t="s">
        <v>759</v>
      </c>
      <c r="B351" s="2">
        <v>460.03</v>
      </c>
      <c r="C351" s="2">
        <v>460.52</v>
      </c>
      <c r="D351" s="2">
        <v>460.53</v>
      </c>
      <c r="E351" s="2">
        <v>460.52</v>
      </c>
      <c r="F351" s="1">
        <v>0</v>
      </c>
    </row>
    <row r="352" spans="1:6" x14ac:dyDescent="0.35">
      <c r="A352" s="2" t="s">
        <v>497</v>
      </c>
      <c r="B352" s="2">
        <v>1590.5</v>
      </c>
      <c r="C352" s="2">
        <v>1594.5</v>
      </c>
      <c r="D352" s="2">
        <v>1594.9549999999999</v>
      </c>
      <c r="E352" s="2">
        <v>1585.5</v>
      </c>
      <c r="F352" s="1">
        <v>-1.5E-3</v>
      </c>
    </row>
    <row r="353" spans="1:6" x14ac:dyDescent="0.35">
      <c r="A353" s="2" t="s">
        <v>236</v>
      </c>
      <c r="B353" s="2">
        <v>1546.82</v>
      </c>
      <c r="C353" s="2">
        <v>1550</v>
      </c>
      <c r="D353" s="2">
        <v>1550</v>
      </c>
      <c r="E353" s="2">
        <v>1507.5</v>
      </c>
      <c r="F353" s="1">
        <v>-2.0999999999999999E-3</v>
      </c>
    </row>
    <row r="354" spans="1:6" x14ac:dyDescent="0.35">
      <c r="A354" s="2" t="s">
        <v>736</v>
      </c>
      <c r="B354" s="2">
        <v>459.93</v>
      </c>
      <c r="C354" s="2">
        <v>460.43</v>
      </c>
      <c r="D354" s="2">
        <v>460.43</v>
      </c>
      <c r="E354" s="2">
        <v>460.42</v>
      </c>
      <c r="F354" s="1">
        <v>0</v>
      </c>
    </row>
    <row r="355" spans="1:6" x14ac:dyDescent="0.35">
      <c r="A355" s="2" t="s">
        <v>215</v>
      </c>
      <c r="B355" s="2">
        <v>1598.38</v>
      </c>
      <c r="C355" s="2">
        <v>1594.5</v>
      </c>
      <c r="D355" s="2">
        <v>1625.4</v>
      </c>
      <c r="E355" s="2">
        <v>1576.5</v>
      </c>
      <c r="F355" s="1">
        <v>8.0000000000000004E-4</v>
      </c>
    </row>
    <row r="356" spans="1:6" x14ac:dyDescent="0.35">
      <c r="A356" s="2" t="s">
        <v>454</v>
      </c>
      <c r="B356" s="2">
        <v>1498</v>
      </c>
      <c r="C356" s="2">
        <v>1420.9</v>
      </c>
      <c r="D356" s="2">
        <v>1525</v>
      </c>
      <c r="E356" s="2">
        <v>1382.5</v>
      </c>
      <c r="F356" s="1">
        <v>5.5E-2</v>
      </c>
    </row>
    <row r="357" spans="1:6" x14ac:dyDescent="0.35">
      <c r="A357" s="2" t="s">
        <v>193</v>
      </c>
      <c r="B357" s="2">
        <v>1600.835</v>
      </c>
      <c r="C357" s="2">
        <v>1601.87</v>
      </c>
      <c r="D357" s="2">
        <v>1604.31</v>
      </c>
      <c r="E357" s="2">
        <v>1597.5150000000001</v>
      </c>
      <c r="F357" s="1">
        <v>-6.9999999999999999E-4</v>
      </c>
    </row>
    <row r="358" spans="1:6" x14ac:dyDescent="0.35">
      <c r="A358" s="2" t="s">
        <v>693</v>
      </c>
      <c r="B358" s="2">
        <v>620.20000000000005</v>
      </c>
      <c r="C358" s="2">
        <v>462.88</v>
      </c>
      <c r="D358" s="2">
        <v>665</v>
      </c>
      <c r="E358" s="2">
        <v>462.88</v>
      </c>
      <c r="F358" s="1">
        <v>0.34129999999999999</v>
      </c>
    </row>
    <row r="359" spans="1:6" x14ac:dyDescent="0.35">
      <c r="A359" s="2" t="s">
        <v>431</v>
      </c>
      <c r="B359" s="2">
        <v>1505</v>
      </c>
      <c r="C359" s="2">
        <v>1525</v>
      </c>
      <c r="D359" s="2">
        <v>1525.82</v>
      </c>
      <c r="E359" s="2">
        <v>1470</v>
      </c>
      <c r="F359" s="1">
        <v>-1.3100000000000001E-2</v>
      </c>
    </row>
    <row r="360" spans="1:6" x14ac:dyDescent="0.35">
      <c r="A360" s="2" t="s">
        <v>671</v>
      </c>
      <c r="B360" s="2">
        <v>775</v>
      </c>
      <c r="C360" s="2">
        <v>777.5</v>
      </c>
      <c r="D360" s="2">
        <v>777.5</v>
      </c>
      <c r="E360" s="2">
        <v>776.5</v>
      </c>
      <c r="F360" s="1">
        <v>-1.2999999999999999E-3</v>
      </c>
    </row>
    <row r="361" spans="1:6" x14ac:dyDescent="0.35">
      <c r="A361" s="2" t="s">
        <v>150</v>
      </c>
      <c r="B361" s="2">
        <v>1528.86</v>
      </c>
      <c r="C361" s="2">
        <v>1528.5</v>
      </c>
      <c r="D361" s="2">
        <v>1533.9849999999999</v>
      </c>
      <c r="E361" s="2">
        <v>1525.59</v>
      </c>
      <c r="F361" s="1">
        <v>-1.4E-3</v>
      </c>
    </row>
    <row r="362" spans="1:6" x14ac:dyDescent="0.35">
      <c r="A362" s="2" t="s">
        <v>650</v>
      </c>
      <c r="B362" s="2">
        <v>766</v>
      </c>
      <c r="C362" s="2">
        <v>769.27</v>
      </c>
      <c r="D362" s="2">
        <v>770.38499999999999</v>
      </c>
      <c r="E362" s="2">
        <v>766.4</v>
      </c>
      <c r="F362" s="1">
        <v>-2.3E-3</v>
      </c>
    </row>
    <row r="363" spans="1:6" x14ac:dyDescent="0.35">
      <c r="A363" s="2" t="s">
        <v>388</v>
      </c>
      <c r="B363" s="2">
        <v>1590</v>
      </c>
      <c r="C363" s="2">
        <v>1590</v>
      </c>
      <c r="D363" s="2">
        <v>1615</v>
      </c>
      <c r="E363" s="2">
        <v>1555.0250000000001</v>
      </c>
      <c r="F363" s="1">
        <v>0</v>
      </c>
    </row>
    <row r="364" spans="1:6" x14ac:dyDescent="0.35">
      <c r="A364" s="2" t="s">
        <v>127</v>
      </c>
      <c r="B364" s="2">
        <v>1531.28</v>
      </c>
      <c r="C364" s="2">
        <v>1531.8</v>
      </c>
      <c r="D364" s="2">
        <v>1536.2</v>
      </c>
      <c r="E364" s="2">
        <v>1531.28</v>
      </c>
      <c r="F364" s="1">
        <v>-2.9999999999999997E-4</v>
      </c>
    </row>
    <row r="365" spans="1:6" x14ac:dyDescent="0.35">
      <c r="A365" s="2" t="s">
        <v>627</v>
      </c>
      <c r="B365" s="2">
        <v>783</v>
      </c>
      <c r="C365" s="2">
        <v>746.68</v>
      </c>
      <c r="D365" s="2">
        <v>784.5</v>
      </c>
      <c r="E365" s="2">
        <v>746.68</v>
      </c>
      <c r="F365" s="1">
        <v>4.9299999999999997E-2</v>
      </c>
    </row>
    <row r="366" spans="1:6" x14ac:dyDescent="0.35">
      <c r="A366" s="2" t="s">
        <v>345</v>
      </c>
      <c r="B366" s="2">
        <v>1635</v>
      </c>
      <c r="C366" s="2">
        <v>1626.33</v>
      </c>
      <c r="D366" s="2">
        <v>1642.665</v>
      </c>
      <c r="E366" s="2">
        <v>1611.165</v>
      </c>
      <c r="F366" s="1">
        <v>9.2999999999999992E-3</v>
      </c>
    </row>
    <row r="367" spans="1:6" x14ac:dyDescent="0.35">
      <c r="A367" s="2" t="s">
        <v>84</v>
      </c>
      <c r="B367" s="2">
        <v>1458.35</v>
      </c>
      <c r="C367" s="2">
        <v>1459.9649999999999</v>
      </c>
      <c r="D367" s="2">
        <v>1465.53</v>
      </c>
      <c r="E367" s="2">
        <v>1454.17</v>
      </c>
      <c r="F367" s="1">
        <v>-1.2999999999999999E-3</v>
      </c>
    </row>
    <row r="368" spans="1:6" x14ac:dyDescent="0.35">
      <c r="A368" s="2" t="s">
        <v>584</v>
      </c>
      <c r="B368" s="2">
        <v>844.94</v>
      </c>
      <c r="C368" s="2">
        <v>844.94</v>
      </c>
      <c r="D368" s="2">
        <v>845.44</v>
      </c>
      <c r="E368" s="2">
        <v>845.44</v>
      </c>
      <c r="F368" s="1">
        <v>5.3499999999999999E-2</v>
      </c>
    </row>
    <row r="369" spans="1:6" x14ac:dyDescent="0.35">
      <c r="A369" s="2" t="s">
        <v>322</v>
      </c>
      <c r="B369" s="2">
        <v>1667.91</v>
      </c>
      <c r="C369" s="2">
        <v>1679.91</v>
      </c>
      <c r="D369" s="2">
        <v>1691.2850000000001</v>
      </c>
      <c r="E369" s="2">
        <v>1677.2850000000001</v>
      </c>
      <c r="F369" s="1">
        <v>0</v>
      </c>
    </row>
    <row r="370" spans="1:6" x14ac:dyDescent="0.35">
      <c r="A370" s="2" t="s">
        <v>61</v>
      </c>
      <c r="B370" s="2">
        <v>1441.56</v>
      </c>
      <c r="C370" s="2">
        <v>1440.645</v>
      </c>
      <c r="D370" s="2">
        <v>1445.9649999999999</v>
      </c>
      <c r="E370" s="2">
        <v>1437.37</v>
      </c>
      <c r="F370" s="1">
        <v>5.9999999999999995E-4</v>
      </c>
    </row>
    <row r="371" spans="1:6" x14ac:dyDescent="0.35">
      <c r="A371" s="2" t="s">
        <v>562</v>
      </c>
      <c r="B371" s="2">
        <v>790</v>
      </c>
      <c r="C371" s="2">
        <v>803</v>
      </c>
      <c r="D371" s="2">
        <v>803.5</v>
      </c>
      <c r="E371" s="2">
        <v>789.5</v>
      </c>
      <c r="F371" s="1">
        <v>-1.4999999999999999E-2</v>
      </c>
    </row>
    <row r="372" spans="1:6" x14ac:dyDescent="0.35">
      <c r="A372" s="2" t="s">
        <v>540</v>
      </c>
      <c r="B372" s="2">
        <v>864.99</v>
      </c>
      <c r="C372" s="2">
        <v>865.99</v>
      </c>
      <c r="D372" s="2">
        <v>879.68</v>
      </c>
      <c r="E372" s="2">
        <v>865.99</v>
      </c>
      <c r="F372" s="1">
        <v>-9.6100000000000005E-2</v>
      </c>
    </row>
    <row r="373" spans="1:6" x14ac:dyDescent="0.35">
      <c r="A373" s="2" t="s">
        <v>278</v>
      </c>
      <c r="B373" s="2">
        <v>1545</v>
      </c>
      <c r="C373" s="2">
        <v>1553.57</v>
      </c>
      <c r="D373" s="2">
        <v>1573.335</v>
      </c>
      <c r="E373" s="2">
        <v>1545.71</v>
      </c>
      <c r="F373" s="1">
        <v>8.9999999999999998E-4</v>
      </c>
    </row>
    <row r="374" spans="1:6" x14ac:dyDescent="0.35">
      <c r="A374" s="2" t="s">
        <v>17</v>
      </c>
      <c r="B374" s="2">
        <v>1422.27</v>
      </c>
      <c r="C374" s="2">
        <v>1418.92</v>
      </c>
      <c r="D374" s="2">
        <v>1425.01</v>
      </c>
      <c r="E374" s="2">
        <v>1415.7049999999999</v>
      </c>
      <c r="F374" s="1">
        <v>4.0000000000000002E-4</v>
      </c>
    </row>
    <row r="375" spans="1:6" x14ac:dyDescent="0.35">
      <c r="A375" s="2" t="s">
        <v>778</v>
      </c>
      <c r="B375" s="2">
        <v>460.06</v>
      </c>
      <c r="C375" s="2">
        <v>460.56</v>
      </c>
      <c r="D375" s="2">
        <v>460.6</v>
      </c>
      <c r="E375" s="2">
        <v>460.5</v>
      </c>
      <c r="F375" s="1">
        <v>0</v>
      </c>
    </row>
    <row r="376" spans="1:6" x14ac:dyDescent="0.35">
      <c r="A376" s="2" t="s">
        <v>517</v>
      </c>
      <c r="B376" s="2">
        <v>1516.2</v>
      </c>
      <c r="C376" s="2">
        <v>1515.59</v>
      </c>
      <c r="D376" s="2">
        <v>1518.6</v>
      </c>
      <c r="E376" s="2">
        <v>1449.5</v>
      </c>
      <c r="F376" s="1">
        <v>1.1000000000000001E-3</v>
      </c>
    </row>
    <row r="377" spans="1:6" x14ac:dyDescent="0.35">
      <c r="A377" s="2" t="s">
        <v>758</v>
      </c>
      <c r="B377" s="2">
        <v>460.04</v>
      </c>
      <c r="C377" s="2">
        <v>460.53</v>
      </c>
      <c r="D377" s="2">
        <v>460.54</v>
      </c>
      <c r="E377" s="2">
        <v>460.53</v>
      </c>
      <c r="F377" s="1">
        <v>0</v>
      </c>
    </row>
    <row r="378" spans="1:6" x14ac:dyDescent="0.35">
      <c r="A378" s="2" t="s">
        <v>496</v>
      </c>
      <c r="B378" s="2">
        <v>1609.74</v>
      </c>
      <c r="C378" s="2">
        <v>1591.5</v>
      </c>
      <c r="D378" s="2">
        <v>1611.87</v>
      </c>
      <c r="E378" s="2">
        <v>1570.25</v>
      </c>
      <c r="F378" s="1">
        <v>1.21E-2</v>
      </c>
    </row>
    <row r="379" spans="1:6" x14ac:dyDescent="0.35">
      <c r="A379" s="2" t="s">
        <v>475</v>
      </c>
      <c r="B379" s="2">
        <v>1150</v>
      </c>
      <c r="C379" s="2">
        <v>1190</v>
      </c>
      <c r="D379" s="2">
        <v>1190</v>
      </c>
      <c r="E379" s="2">
        <v>1143.5</v>
      </c>
      <c r="F379" s="1">
        <v>0</v>
      </c>
    </row>
    <row r="380" spans="1:6" x14ac:dyDescent="0.35">
      <c r="A380" s="2" t="s">
        <v>214</v>
      </c>
      <c r="B380" s="2">
        <v>1602.82</v>
      </c>
      <c r="C380" s="2">
        <v>1610.39</v>
      </c>
      <c r="D380" s="2">
        <v>1610.87</v>
      </c>
      <c r="E380" s="2">
        <v>1596.6849999999999</v>
      </c>
      <c r="F380" s="1">
        <v>2.8E-3</v>
      </c>
    </row>
    <row r="381" spans="1:6" x14ac:dyDescent="0.35">
      <c r="A381" s="2" t="s">
        <v>715</v>
      </c>
      <c r="B381" s="2">
        <v>460.03</v>
      </c>
      <c r="C381" s="2">
        <v>460.53</v>
      </c>
      <c r="D381" s="2">
        <v>462.5</v>
      </c>
      <c r="E381" s="2">
        <v>460.52</v>
      </c>
      <c r="F381" s="1">
        <v>0</v>
      </c>
    </row>
    <row r="382" spans="1:6" x14ac:dyDescent="0.35">
      <c r="A382" s="2" t="s">
        <v>453</v>
      </c>
      <c r="B382" s="2">
        <v>1519</v>
      </c>
      <c r="C382" s="2">
        <v>1499</v>
      </c>
      <c r="D382" s="2">
        <v>1545</v>
      </c>
      <c r="E382" s="2">
        <v>1475</v>
      </c>
      <c r="F382" s="1">
        <v>1.4E-2</v>
      </c>
    </row>
    <row r="383" spans="1:6" x14ac:dyDescent="0.35">
      <c r="A383" s="2" t="s">
        <v>192</v>
      </c>
      <c r="B383" s="2">
        <v>1600.18</v>
      </c>
      <c r="C383" s="2">
        <v>1600.08</v>
      </c>
      <c r="D383" s="2">
        <v>1604.645</v>
      </c>
      <c r="E383" s="2">
        <v>1596.4749999999999</v>
      </c>
      <c r="F383" s="1">
        <v>-4.0000000000000002E-4</v>
      </c>
    </row>
    <row r="384" spans="1:6" x14ac:dyDescent="0.35">
      <c r="A384" s="2" t="s">
        <v>692</v>
      </c>
      <c r="B384" s="2">
        <v>620.5</v>
      </c>
      <c r="C384" s="2">
        <v>620.20000000000005</v>
      </c>
      <c r="D384" s="2">
        <v>659</v>
      </c>
      <c r="E384" s="2">
        <v>600.5</v>
      </c>
      <c r="F384" s="1">
        <v>5.0000000000000001E-4</v>
      </c>
    </row>
    <row r="385" spans="1:6" x14ac:dyDescent="0.35">
      <c r="A385" s="2" t="s">
        <v>410</v>
      </c>
      <c r="B385" s="2">
        <v>1600</v>
      </c>
      <c r="C385" s="2">
        <v>1600</v>
      </c>
      <c r="D385" s="2">
        <v>1607.5</v>
      </c>
      <c r="E385" s="2">
        <v>1550.875</v>
      </c>
      <c r="F385" s="1">
        <v>0</v>
      </c>
    </row>
    <row r="386" spans="1:6" x14ac:dyDescent="0.35">
      <c r="A386" s="2" t="s">
        <v>149</v>
      </c>
      <c r="B386" s="2">
        <v>1528.22</v>
      </c>
      <c r="C386" s="2">
        <v>1528.02</v>
      </c>
      <c r="D386" s="2">
        <v>1534.25</v>
      </c>
      <c r="E386" s="2">
        <v>1526.345</v>
      </c>
      <c r="F386" s="1">
        <v>-4.0000000000000002E-4</v>
      </c>
    </row>
    <row r="387" spans="1:6" x14ac:dyDescent="0.35">
      <c r="A387" s="2" t="s">
        <v>649</v>
      </c>
      <c r="B387" s="2">
        <v>759</v>
      </c>
      <c r="C387" s="2">
        <v>766.4</v>
      </c>
      <c r="D387" s="2">
        <v>766.4</v>
      </c>
      <c r="E387" s="2">
        <v>755.5</v>
      </c>
      <c r="F387" s="1">
        <v>-9.1000000000000004E-3</v>
      </c>
    </row>
    <row r="388" spans="1:6" x14ac:dyDescent="0.35">
      <c r="A388" s="2" t="s">
        <v>387</v>
      </c>
      <c r="B388" s="2">
        <v>1590</v>
      </c>
      <c r="C388" s="2">
        <v>1590</v>
      </c>
      <c r="D388" s="2">
        <v>1609.885</v>
      </c>
      <c r="E388" s="2">
        <v>1557.7</v>
      </c>
      <c r="F388" s="1">
        <v>0</v>
      </c>
    </row>
    <row r="389" spans="1:6" x14ac:dyDescent="0.35">
      <c r="A389" s="2" t="s">
        <v>126</v>
      </c>
      <c r="B389" s="2">
        <v>1529.43</v>
      </c>
      <c r="C389" s="2">
        <v>1531.28</v>
      </c>
      <c r="D389" s="2">
        <v>1535.375</v>
      </c>
      <c r="E389" s="2">
        <v>1529.2149999999999</v>
      </c>
      <c r="F389" s="1">
        <v>-1.1999999999999999E-3</v>
      </c>
    </row>
    <row r="390" spans="1:6" x14ac:dyDescent="0.35">
      <c r="A390" s="2" t="s">
        <v>626</v>
      </c>
      <c r="B390" s="2">
        <v>767.74</v>
      </c>
      <c r="C390" s="2">
        <v>768.69</v>
      </c>
      <c r="D390" s="2">
        <v>789.5</v>
      </c>
      <c r="E390" s="2">
        <v>768.24</v>
      </c>
      <c r="F390" s="1">
        <v>-1.95E-2</v>
      </c>
    </row>
    <row r="391" spans="1:6" x14ac:dyDescent="0.35">
      <c r="A391" s="2" t="s">
        <v>105</v>
      </c>
      <c r="B391" s="2">
        <v>1498.1</v>
      </c>
      <c r="C391" s="2">
        <v>1500.5</v>
      </c>
      <c r="D391" s="2">
        <v>1505.22</v>
      </c>
      <c r="E391" s="2">
        <v>1497.37</v>
      </c>
      <c r="F391" s="1">
        <v>-1E-3</v>
      </c>
    </row>
    <row r="392" spans="1:6" x14ac:dyDescent="0.35">
      <c r="A392" s="2" t="s">
        <v>344</v>
      </c>
      <c r="B392" s="2">
        <v>1635</v>
      </c>
      <c r="C392" s="2">
        <v>1635</v>
      </c>
      <c r="D392" s="2">
        <v>1657.5</v>
      </c>
      <c r="E392" s="2">
        <v>1602.04</v>
      </c>
      <c r="F392" s="1">
        <v>0</v>
      </c>
    </row>
    <row r="393" spans="1:6" x14ac:dyDescent="0.35">
      <c r="A393" s="2" t="s">
        <v>83</v>
      </c>
      <c r="B393" s="2">
        <v>1468.68</v>
      </c>
      <c r="C393" s="2">
        <v>1460.63</v>
      </c>
      <c r="D393" s="2">
        <v>1468.68</v>
      </c>
      <c r="E393" s="2">
        <v>1456.5</v>
      </c>
      <c r="F393" s="1">
        <v>7.1000000000000004E-3</v>
      </c>
    </row>
    <row r="394" spans="1:6" x14ac:dyDescent="0.35">
      <c r="A394" s="2" t="s">
        <v>583</v>
      </c>
      <c r="B394" s="2">
        <v>843.08</v>
      </c>
      <c r="C394" s="2">
        <v>843.58</v>
      </c>
      <c r="D394" s="2">
        <v>846</v>
      </c>
      <c r="E394" s="2">
        <v>843.54</v>
      </c>
      <c r="F394" s="1">
        <v>-2.2000000000000001E-3</v>
      </c>
    </row>
    <row r="395" spans="1:6" x14ac:dyDescent="0.35">
      <c r="A395" s="2" t="s">
        <v>321</v>
      </c>
      <c r="B395" s="2">
        <v>1654.63</v>
      </c>
      <c r="C395" s="2">
        <v>1679.91</v>
      </c>
      <c r="D395" s="2">
        <v>1689.74</v>
      </c>
      <c r="E395" s="2">
        <v>1635</v>
      </c>
      <c r="F395" s="1">
        <v>-8.0000000000000002E-3</v>
      </c>
    </row>
    <row r="396" spans="1:6" x14ac:dyDescent="0.35">
      <c r="A396" s="2" t="s">
        <v>561</v>
      </c>
      <c r="B396" s="2">
        <v>789</v>
      </c>
      <c r="C396" s="2">
        <v>791</v>
      </c>
      <c r="D396" s="2">
        <v>802.5</v>
      </c>
      <c r="E396" s="2">
        <v>789.5</v>
      </c>
      <c r="F396" s="1">
        <v>-1.2999999999999999E-3</v>
      </c>
    </row>
    <row r="397" spans="1:6" x14ac:dyDescent="0.35">
      <c r="A397" s="2" t="s">
        <v>40</v>
      </c>
      <c r="B397" s="2">
        <v>1451.7</v>
      </c>
      <c r="C397" s="2">
        <v>1448.68</v>
      </c>
      <c r="D397" s="2">
        <v>1455.43</v>
      </c>
      <c r="E397" s="2">
        <v>1448.34</v>
      </c>
      <c r="F397" s="1">
        <v>-1E-3</v>
      </c>
    </row>
    <row r="398" spans="1:6" x14ac:dyDescent="0.35">
      <c r="A398" s="2" t="s">
        <v>800</v>
      </c>
      <c r="B398" s="2">
        <v>452.12</v>
      </c>
      <c r="C398" s="2">
        <v>452.59</v>
      </c>
      <c r="D398" s="2">
        <v>460.5</v>
      </c>
      <c r="E398" s="2">
        <v>452.59</v>
      </c>
      <c r="F398" s="1">
        <v>1E-4</v>
      </c>
    </row>
    <row r="399" spans="1:6" x14ac:dyDescent="0.35">
      <c r="A399" s="2" t="s">
        <v>539</v>
      </c>
      <c r="B399" s="2">
        <v>852.77</v>
      </c>
      <c r="C399" s="2">
        <v>865.99</v>
      </c>
      <c r="D399" s="2">
        <v>910.75</v>
      </c>
      <c r="E399" s="2">
        <v>853.77</v>
      </c>
      <c r="F399" s="1">
        <v>-1.41E-2</v>
      </c>
    </row>
    <row r="400" spans="1:6" x14ac:dyDescent="0.35">
      <c r="A400" s="2" t="s">
        <v>277</v>
      </c>
      <c r="B400" s="2">
        <v>1550.2</v>
      </c>
      <c r="C400" s="2">
        <v>1555</v>
      </c>
      <c r="D400" s="2">
        <v>1572.6</v>
      </c>
      <c r="E400" s="2">
        <v>1544.335</v>
      </c>
      <c r="F400" s="1">
        <v>3.3999999999999998E-3</v>
      </c>
    </row>
    <row r="401" spans="1:6" x14ac:dyDescent="0.35">
      <c r="A401" s="2" t="s">
        <v>16</v>
      </c>
      <c r="B401" s="2">
        <v>1417.16</v>
      </c>
      <c r="C401" s="2">
        <v>1422.2950000000001</v>
      </c>
      <c r="D401" s="2">
        <v>1424.5</v>
      </c>
      <c r="E401" s="2">
        <v>1416.56</v>
      </c>
      <c r="F401" s="1">
        <v>-3.5999999999999999E-3</v>
      </c>
    </row>
    <row r="402" spans="1:6" x14ac:dyDescent="0.35">
      <c r="A402" s="2" t="s">
        <v>777</v>
      </c>
      <c r="B402" s="2">
        <v>460.05</v>
      </c>
      <c r="C402" s="2">
        <v>460.56</v>
      </c>
      <c r="D402" s="2">
        <v>460.56</v>
      </c>
      <c r="E402" s="2">
        <v>460.5</v>
      </c>
      <c r="F402" s="1">
        <v>0</v>
      </c>
    </row>
    <row r="403" spans="1:6" x14ac:dyDescent="0.35">
      <c r="A403" s="2" t="s">
        <v>516</v>
      </c>
      <c r="B403" s="2">
        <v>1492.73</v>
      </c>
      <c r="C403" s="2">
        <v>1517.2</v>
      </c>
      <c r="D403" s="2">
        <v>1530.75</v>
      </c>
      <c r="E403" s="2">
        <v>1493.365</v>
      </c>
      <c r="F403" s="1">
        <v>-1.55E-2</v>
      </c>
    </row>
    <row r="404" spans="1:6" x14ac:dyDescent="0.35">
      <c r="A404" s="2" t="s">
        <v>757</v>
      </c>
      <c r="B404" s="2">
        <v>459.94</v>
      </c>
      <c r="C404" s="2">
        <v>460.54</v>
      </c>
      <c r="D404" s="2">
        <v>460.55</v>
      </c>
      <c r="E404" s="2">
        <v>460.44</v>
      </c>
      <c r="F404" s="1">
        <v>-2.0000000000000001E-4</v>
      </c>
    </row>
    <row r="405" spans="1:6" x14ac:dyDescent="0.35">
      <c r="A405" s="2" t="s">
        <v>474</v>
      </c>
      <c r="B405" s="2">
        <v>1138</v>
      </c>
      <c r="C405" s="2">
        <v>1151</v>
      </c>
      <c r="D405" s="2">
        <v>1190</v>
      </c>
      <c r="E405" s="2">
        <v>1139</v>
      </c>
      <c r="F405" s="1">
        <v>-1.04E-2</v>
      </c>
    </row>
    <row r="406" spans="1:6" x14ac:dyDescent="0.35">
      <c r="A406" s="2" t="s">
        <v>213</v>
      </c>
      <c r="B406" s="2">
        <v>1597.29</v>
      </c>
      <c r="C406" s="2">
        <v>1605.35</v>
      </c>
      <c r="D406" s="2">
        <v>1620.855</v>
      </c>
      <c r="E406" s="2">
        <v>1590.1949999999999</v>
      </c>
      <c r="F406" s="1">
        <v>-3.5000000000000001E-3</v>
      </c>
    </row>
    <row r="407" spans="1:6" x14ac:dyDescent="0.35">
      <c r="A407" s="2" t="s">
        <v>714</v>
      </c>
      <c r="B407" s="2">
        <v>460.07</v>
      </c>
      <c r="C407" s="2">
        <v>460.53</v>
      </c>
      <c r="D407" s="2">
        <v>460.57</v>
      </c>
      <c r="E407" s="2">
        <v>460.5</v>
      </c>
      <c r="F407" s="1">
        <v>1E-4</v>
      </c>
    </row>
    <row r="408" spans="1:6" x14ac:dyDescent="0.35">
      <c r="A408" s="2" t="s">
        <v>452</v>
      </c>
      <c r="B408" s="2">
        <v>1520</v>
      </c>
      <c r="C408" s="2">
        <v>1520</v>
      </c>
      <c r="D408" s="2">
        <v>1545</v>
      </c>
      <c r="E408" s="2">
        <v>1520</v>
      </c>
      <c r="F408" s="1">
        <v>6.9999999999999999E-4</v>
      </c>
    </row>
    <row r="409" spans="1:6" x14ac:dyDescent="0.35">
      <c r="A409" s="2" t="s">
        <v>191</v>
      </c>
      <c r="B409" s="2">
        <v>1601.68</v>
      </c>
      <c r="C409" s="2">
        <v>1600.74</v>
      </c>
      <c r="D409" s="2">
        <v>1605.175</v>
      </c>
      <c r="E409" s="2">
        <v>1593.85</v>
      </c>
      <c r="F409" s="1">
        <v>8.9999999999999998E-4</v>
      </c>
    </row>
    <row r="410" spans="1:6" x14ac:dyDescent="0.35">
      <c r="A410" s="2" t="s">
        <v>691</v>
      </c>
      <c r="B410" s="2">
        <v>655</v>
      </c>
      <c r="C410" s="2">
        <v>620.5</v>
      </c>
      <c r="D410" s="2">
        <v>665.5</v>
      </c>
      <c r="E410" s="2">
        <v>590.95000000000005</v>
      </c>
      <c r="F410" s="1">
        <v>5.5599999999999997E-2</v>
      </c>
    </row>
    <row r="411" spans="1:6" x14ac:dyDescent="0.35">
      <c r="A411" s="2" t="s">
        <v>170</v>
      </c>
      <c r="B411" s="2">
        <v>1543.49</v>
      </c>
      <c r="C411" s="2">
        <v>1548.6</v>
      </c>
      <c r="D411" s="2">
        <v>1558.8</v>
      </c>
      <c r="E411" s="2">
        <v>1541.375</v>
      </c>
      <c r="F411" s="1">
        <v>-8.9999999999999998E-4</v>
      </c>
    </row>
    <row r="412" spans="1:6" x14ac:dyDescent="0.35">
      <c r="A412" s="2" t="s">
        <v>409</v>
      </c>
      <c r="B412" s="2">
        <v>1595</v>
      </c>
      <c r="C412" s="2">
        <v>1600</v>
      </c>
      <c r="D412" s="2">
        <v>1602.8050000000001</v>
      </c>
      <c r="E412" s="2">
        <v>1513.5</v>
      </c>
      <c r="F412" s="1">
        <v>-3.0999999999999999E-3</v>
      </c>
    </row>
    <row r="413" spans="1:6" x14ac:dyDescent="0.35">
      <c r="A413" s="2" t="s">
        <v>148</v>
      </c>
      <c r="B413" s="2">
        <v>1530.1949999999999</v>
      </c>
      <c r="C413" s="2">
        <v>1527.9349999999999</v>
      </c>
      <c r="D413" s="2">
        <v>1531.165</v>
      </c>
      <c r="E413" s="2">
        <v>1524.2850000000001</v>
      </c>
      <c r="F413" s="1">
        <v>1.2999999999999999E-3</v>
      </c>
    </row>
    <row r="414" spans="1:6" x14ac:dyDescent="0.35">
      <c r="A414" s="2" t="s">
        <v>648</v>
      </c>
      <c r="B414" s="2">
        <v>784.39</v>
      </c>
      <c r="C414" s="2">
        <v>760.5</v>
      </c>
      <c r="D414" s="2">
        <v>785.89</v>
      </c>
      <c r="E414" s="2">
        <v>760.5</v>
      </c>
      <c r="F414" s="1">
        <v>3.3500000000000002E-2</v>
      </c>
    </row>
    <row r="415" spans="1:6" x14ac:dyDescent="0.35">
      <c r="A415" s="2" t="s">
        <v>386</v>
      </c>
      <c r="B415" s="2">
        <v>1590</v>
      </c>
      <c r="C415" s="2">
        <v>1590</v>
      </c>
      <c r="D415" s="2">
        <v>1622.17</v>
      </c>
      <c r="E415" s="2">
        <v>1560.885</v>
      </c>
      <c r="F415" s="1">
        <v>0</v>
      </c>
    </row>
    <row r="416" spans="1:6" x14ac:dyDescent="0.35">
      <c r="A416" s="2" t="s">
        <v>365</v>
      </c>
      <c r="B416" s="2">
        <v>1639.2</v>
      </c>
      <c r="C416" s="2">
        <v>1646.13</v>
      </c>
      <c r="D416" s="2">
        <v>1655.0650000000001</v>
      </c>
      <c r="E416" s="2">
        <v>1630.665</v>
      </c>
      <c r="F416" s="1">
        <v>0</v>
      </c>
    </row>
    <row r="417" spans="1:6" x14ac:dyDescent="0.35">
      <c r="A417" s="2" t="s">
        <v>104</v>
      </c>
      <c r="B417" s="2">
        <v>1495.25</v>
      </c>
      <c r="C417" s="2">
        <v>1498.15</v>
      </c>
      <c r="D417" s="2">
        <v>1501.5150000000001</v>
      </c>
      <c r="E417" s="2">
        <v>1488.9</v>
      </c>
      <c r="F417" s="1">
        <v>-1.9E-3</v>
      </c>
    </row>
    <row r="418" spans="1:6" x14ac:dyDescent="0.35">
      <c r="A418" s="2" t="s">
        <v>605</v>
      </c>
      <c r="B418" s="2">
        <v>764.93</v>
      </c>
      <c r="C418" s="2">
        <v>770.01</v>
      </c>
      <c r="D418" s="2">
        <v>775.5</v>
      </c>
      <c r="E418" s="2">
        <v>765.43</v>
      </c>
      <c r="F418" s="1">
        <v>-6.0000000000000001E-3</v>
      </c>
    </row>
    <row r="419" spans="1:6" x14ac:dyDescent="0.35">
      <c r="A419" s="2" t="s">
        <v>343</v>
      </c>
      <c r="B419" s="2">
        <v>1635</v>
      </c>
      <c r="C419" s="2">
        <v>1635</v>
      </c>
      <c r="D419" s="2">
        <v>1672.345</v>
      </c>
      <c r="E419" s="2">
        <v>1603.08</v>
      </c>
      <c r="F419" s="1">
        <v>0</v>
      </c>
    </row>
    <row r="420" spans="1:6" x14ac:dyDescent="0.35">
      <c r="A420" s="2" t="s">
        <v>82</v>
      </c>
      <c r="B420" s="2">
        <v>1469.13</v>
      </c>
      <c r="C420" s="2">
        <v>1468.83</v>
      </c>
      <c r="D420" s="2">
        <v>1471.085</v>
      </c>
      <c r="E420" s="2">
        <v>1461.57</v>
      </c>
      <c r="F420" s="1">
        <v>2.9999999999999997E-4</v>
      </c>
    </row>
    <row r="421" spans="1:6" x14ac:dyDescent="0.35">
      <c r="A421" s="2" t="s">
        <v>582</v>
      </c>
      <c r="B421" s="2">
        <v>826.84</v>
      </c>
      <c r="C421" s="2">
        <v>843.58</v>
      </c>
      <c r="D421" s="2">
        <v>845.54</v>
      </c>
      <c r="E421" s="2">
        <v>827.34</v>
      </c>
      <c r="F421" s="1">
        <v>-1.9300000000000001E-2</v>
      </c>
    </row>
    <row r="422" spans="1:6" x14ac:dyDescent="0.35">
      <c r="A422" s="2" t="s">
        <v>300</v>
      </c>
      <c r="B422" s="2">
        <v>1532.27</v>
      </c>
      <c r="C422" s="2">
        <v>1534.6</v>
      </c>
      <c r="D422" s="2">
        <v>1556.8</v>
      </c>
      <c r="E422" s="2">
        <v>1529.635</v>
      </c>
      <c r="F422" s="1">
        <v>-4.7000000000000002E-3</v>
      </c>
    </row>
    <row r="423" spans="1:6" x14ac:dyDescent="0.35">
      <c r="A423" s="2" t="s">
        <v>39</v>
      </c>
      <c r="B423" s="2">
        <v>1451.98</v>
      </c>
      <c r="C423" s="2">
        <v>1450.54</v>
      </c>
      <c r="D423" s="2">
        <v>1456.66</v>
      </c>
      <c r="E423" s="2">
        <v>1449.7650000000001</v>
      </c>
      <c r="F423" s="1">
        <v>2.0000000000000001E-4</v>
      </c>
    </row>
    <row r="424" spans="1:6" x14ac:dyDescent="0.35">
      <c r="A424" s="2" t="s">
        <v>799</v>
      </c>
      <c r="B424" s="2">
        <v>453.08</v>
      </c>
      <c r="C424" s="2">
        <v>452.62</v>
      </c>
      <c r="D424" s="2">
        <v>460.5</v>
      </c>
      <c r="E424" s="2">
        <v>452.62</v>
      </c>
      <c r="F424" s="1">
        <v>2.0999999999999999E-3</v>
      </c>
    </row>
    <row r="425" spans="1:6" x14ac:dyDescent="0.35">
      <c r="A425" s="2" t="s">
        <v>538</v>
      </c>
      <c r="B425" s="2">
        <v>858</v>
      </c>
      <c r="C425" s="2">
        <v>853.77</v>
      </c>
      <c r="D425" s="2">
        <v>910.75</v>
      </c>
      <c r="E425" s="2">
        <v>853.77</v>
      </c>
      <c r="F425" s="1">
        <v>6.1000000000000004E-3</v>
      </c>
    </row>
    <row r="426" spans="1:6" x14ac:dyDescent="0.35">
      <c r="A426" s="2" t="s">
        <v>276</v>
      </c>
      <c r="B426" s="2">
        <v>1546.71</v>
      </c>
      <c r="C426" s="2">
        <v>1560.2</v>
      </c>
      <c r="D426" s="2">
        <v>1562.6</v>
      </c>
      <c r="E426" s="2">
        <v>1547.6</v>
      </c>
      <c r="F426" s="1">
        <v>-2.3E-3</v>
      </c>
    </row>
    <row r="427" spans="1:6" x14ac:dyDescent="0.35">
      <c r="A427" s="2" t="s">
        <v>776</v>
      </c>
      <c r="B427" s="2">
        <v>460.04</v>
      </c>
      <c r="C427" s="2">
        <v>460.55</v>
      </c>
      <c r="D427" s="2">
        <v>460.56</v>
      </c>
      <c r="E427" s="2">
        <v>460.5</v>
      </c>
      <c r="F427" s="1">
        <v>0</v>
      </c>
    </row>
    <row r="428" spans="1:6" x14ac:dyDescent="0.35">
      <c r="A428" s="2" t="s">
        <v>255</v>
      </c>
      <c r="B428" s="2">
        <v>1510</v>
      </c>
      <c r="C428" s="2">
        <v>1510</v>
      </c>
      <c r="D428" s="2">
        <v>1515</v>
      </c>
      <c r="E428" s="2">
        <v>1505</v>
      </c>
      <c r="F428" s="1">
        <v>6.9999999999999999E-4</v>
      </c>
    </row>
    <row r="429" spans="1:6" x14ac:dyDescent="0.35">
      <c r="A429" s="2" t="s">
        <v>756</v>
      </c>
      <c r="B429" s="2">
        <v>459.94</v>
      </c>
      <c r="C429" s="2">
        <v>460.44</v>
      </c>
      <c r="D429" s="2">
        <v>460.45</v>
      </c>
      <c r="E429" s="2">
        <v>460.44</v>
      </c>
      <c r="F429" s="1">
        <v>0</v>
      </c>
    </row>
    <row r="430" spans="1:6" x14ac:dyDescent="0.35">
      <c r="A430" s="2" t="s">
        <v>235</v>
      </c>
      <c r="B430" s="2">
        <v>1545</v>
      </c>
      <c r="C430" s="2">
        <v>1547.82</v>
      </c>
      <c r="D430" s="2">
        <v>1553.41</v>
      </c>
      <c r="E430" s="2">
        <v>1533</v>
      </c>
      <c r="F430" s="1">
        <v>-1.1999999999999999E-3</v>
      </c>
    </row>
    <row r="431" spans="1:6" x14ac:dyDescent="0.35">
      <c r="A431" s="2" t="s">
        <v>735</v>
      </c>
      <c r="B431" s="2">
        <v>459.92</v>
      </c>
      <c r="C431" s="2">
        <v>460.43</v>
      </c>
      <c r="D431" s="2">
        <v>460.5</v>
      </c>
      <c r="E431" s="2">
        <v>460.42</v>
      </c>
      <c r="F431" s="1">
        <v>0</v>
      </c>
    </row>
    <row r="432" spans="1:6" x14ac:dyDescent="0.35">
      <c r="A432" s="2" t="s">
        <v>473</v>
      </c>
      <c r="B432" s="2">
        <v>1160.71</v>
      </c>
      <c r="C432" s="2">
        <v>1160</v>
      </c>
      <c r="D432" s="2">
        <v>1172.855</v>
      </c>
      <c r="E432" s="2">
        <v>1115</v>
      </c>
      <c r="F432" s="1">
        <v>0.02</v>
      </c>
    </row>
    <row r="433" spans="1:6" x14ac:dyDescent="0.35">
      <c r="A433" s="2" t="s">
        <v>212</v>
      </c>
      <c r="B433" s="2">
        <v>1600.77</v>
      </c>
      <c r="C433" s="2">
        <v>1601.37</v>
      </c>
      <c r="D433" s="2">
        <v>1611.88</v>
      </c>
      <c r="E433" s="2">
        <v>1585.07</v>
      </c>
      <c r="F433" s="1">
        <v>2.2000000000000001E-3</v>
      </c>
    </row>
    <row r="434" spans="1:6" x14ac:dyDescent="0.35">
      <c r="A434" s="2" t="s">
        <v>713</v>
      </c>
      <c r="B434" s="2">
        <v>460.2</v>
      </c>
      <c r="C434" s="2">
        <v>460.57</v>
      </c>
      <c r="D434" s="2">
        <v>460.7</v>
      </c>
      <c r="E434" s="2">
        <v>460.57</v>
      </c>
      <c r="F434" s="1">
        <v>2.9999999999999997E-4</v>
      </c>
    </row>
    <row r="435" spans="1:6" x14ac:dyDescent="0.35">
      <c r="A435" s="2" t="s">
        <v>451</v>
      </c>
      <c r="B435" s="2">
        <v>1467</v>
      </c>
      <c r="C435" s="2">
        <v>1521</v>
      </c>
      <c r="D435" s="2">
        <v>1525</v>
      </c>
      <c r="E435" s="2">
        <v>1434.5</v>
      </c>
      <c r="F435" s="1">
        <v>-3.49E-2</v>
      </c>
    </row>
    <row r="436" spans="1:6" x14ac:dyDescent="0.35">
      <c r="A436" s="2" t="s">
        <v>430</v>
      </c>
      <c r="B436" s="2">
        <v>1481.64</v>
      </c>
      <c r="C436" s="2">
        <v>1482.64</v>
      </c>
      <c r="D436" s="2">
        <v>1486.32</v>
      </c>
      <c r="E436" s="2">
        <v>1482.32</v>
      </c>
      <c r="F436" s="1">
        <v>-1.55E-2</v>
      </c>
    </row>
    <row r="437" spans="1:6" x14ac:dyDescent="0.35">
      <c r="A437" s="2" t="s">
        <v>169</v>
      </c>
      <c r="B437" s="2">
        <v>1545.15</v>
      </c>
      <c r="C437" s="2">
        <v>1543.4849999999999</v>
      </c>
      <c r="D437" s="2">
        <v>1549.88</v>
      </c>
      <c r="E437" s="2">
        <v>1542.085</v>
      </c>
      <c r="F437" s="1">
        <v>1.1000000000000001E-3</v>
      </c>
    </row>
    <row r="438" spans="1:6" x14ac:dyDescent="0.35">
      <c r="A438" s="2" t="s">
        <v>670</v>
      </c>
      <c r="B438" s="2">
        <v>774.67</v>
      </c>
      <c r="C438" s="2">
        <v>776.5</v>
      </c>
      <c r="D438" s="2">
        <v>776.5</v>
      </c>
      <c r="E438" s="2">
        <v>775.5</v>
      </c>
      <c r="F438" s="1">
        <v>-4.0000000000000002E-4</v>
      </c>
    </row>
    <row r="439" spans="1:6" x14ac:dyDescent="0.35">
      <c r="A439" s="2" t="s">
        <v>408</v>
      </c>
      <c r="B439" s="2">
        <v>1595</v>
      </c>
      <c r="C439" s="2">
        <v>1595</v>
      </c>
      <c r="D439" s="2">
        <v>1615</v>
      </c>
      <c r="E439" s="2">
        <v>1556</v>
      </c>
      <c r="F439" s="1">
        <v>0</v>
      </c>
    </row>
    <row r="440" spans="1:6" x14ac:dyDescent="0.35">
      <c r="A440" s="2" t="s">
        <v>147</v>
      </c>
      <c r="B440" s="2">
        <v>1527.51</v>
      </c>
      <c r="C440" s="2">
        <v>1530.1949999999999</v>
      </c>
      <c r="D440" s="2">
        <v>1532.81</v>
      </c>
      <c r="E440" s="2">
        <v>1525.16</v>
      </c>
      <c r="F440" s="1">
        <v>-1.8E-3</v>
      </c>
    </row>
    <row r="441" spans="1:6" x14ac:dyDescent="0.35">
      <c r="A441" s="2" t="s">
        <v>647</v>
      </c>
      <c r="B441" s="2">
        <v>766.47</v>
      </c>
      <c r="C441" s="2">
        <v>785.89</v>
      </c>
      <c r="D441" s="2">
        <v>785.89</v>
      </c>
      <c r="E441" s="2">
        <v>761.5</v>
      </c>
      <c r="F441" s="1">
        <v>-2.2800000000000001E-2</v>
      </c>
    </row>
    <row r="442" spans="1:6" x14ac:dyDescent="0.35">
      <c r="A442" s="2" t="s">
        <v>364</v>
      </c>
      <c r="B442" s="2">
        <v>1639.2</v>
      </c>
      <c r="C442" s="2">
        <v>1639.2</v>
      </c>
      <c r="D442" s="2">
        <v>1657.1</v>
      </c>
      <c r="E442" s="2">
        <v>1512.5</v>
      </c>
      <c r="F442" s="1">
        <v>0</v>
      </c>
    </row>
    <row r="443" spans="1:6" x14ac:dyDescent="0.35">
      <c r="A443" s="2" t="s">
        <v>103</v>
      </c>
      <c r="B443" s="2">
        <v>1495.51</v>
      </c>
      <c r="C443" s="2">
        <v>1491.35</v>
      </c>
      <c r="D443" s="2">
        <v>1497.0450000000001</v>
      </c>
      <c r="E443" s="2">
        <v>1487.155</v>
      </c>
      <c r="F443" s="1">
        <v>2.0000000000000001E-4</v>
      </c>
    </row>
    <row r="444" spans="1:6" x14ac:dyDescent="0.35">
      <c r="A444" s="2" t="s">
        <v>604</v>
      </c>
      <c r="B444" s="2">
        <v>764.24</v>
      </c>
      <c r="C444" s="2">
        <v>765.43</v>
      </c>
      <c r="D444" s="2">
        <v>767.46500000000003</v>
      </c>
      <c r="E444" s="2">
        <v>764.62</v>
      </c>
      <c r="F444" s="1">
        <v>-8.9999999999999998E-4</v>
      </c>
    </row>
    <row r="445" spans="1:6" x14ac:dyDescent="0.35">
      <c r="A445" s="2" t="s">
        <v>342</v>
      </c>
      <c r="B445" s="2">
        <v>1635</v>
      </c>
      <c r="C445" s="2">
        <v>1635</v>
      </c>
      <c r="D445" s="2">
        <v>1669.845</v>
      </c>
      <c r="E445" s="2">
        <v>1622.5</v>
      </c>
      <c r="F445" s="1">
        <v>0</v>
      </c>
    </row>
    <row r="446" spans="1:6" x14ac:dyDescent="0.35">
      <c r="A446" s="2" t="s">
        <v>81</v>
      </c>
      <c r="B446" s="2">
        <v>1469.4</v>
      </c>
      <c r="C446" s="2">
        <v>1469.67</v>
      </c>
      <c r="D446" s="2">
        <v>1475.17</v>
      </c>
      <c r="E446" s="2">
        <v>1463</v>
      </c>
      <c r="F446" s="1">
        <v>2.0000000000000001E-4</v>
      </c>
    </row>
    <row r="447" spans="1:6" x14ac:dyDescent="0.35">
      <c r="A447" s="2" t="s">
        <v>581</v>
      </c>
      <c r="B447" s="2">
        <v>839.54</v>
      </c>
      <c r="C447" s="2">
        <v>827.34</v>
      </c>
      <c r="D447" s="2">
        <v>845.5</v>
      </c>
      <c r="E447" s="2">
        <v>827.34</v>
      </c>
      <c r="F447" s="1">
        <v>1.54E-2</v>
      </c>
    </row>
    <row r="448" spans="1:6" x14ac:dyDescent="0.35">
      <c r="A448" s="2" t="s">
        <v>60</v>
      </c>
      <c r="B448" s="2">
        <v>1445.075</v>
      </c>
      <c r="C448" s="2">
        <v>1439.82</v>
      </c>
      <c r="D448" s="2">
        <v>1447.76</v>
      </c>
      <c r="E448" s="2">
        <v>1439.4749999999999</v>
      </c>
      <c r="F448" s="1">
        <v>2.3999999999999998E-3</v>
      </c>
    </row>
    <row r="449" spans="1:6" x14ac:dyDescent="0.35">
      <c r="A449" s="2" t="s">
        <v>299</v>
      </c>
      <c r="B449" s="2">
        <v>1546.75</v>
      </c>
      <c r="C449" s="2">
        <v>1533.27</v>
      </c>
      <c r="D449" s="2">
        <v>1556.75</v>
      </c>
      <c r="E449" s="2">
        <v>1533.27</v>
      </c>
      <c r="F449" s="1">
        <v>9.4999999999999998E-3</v>
      </c>
    </row>
    <row r="450" spans="1:6" x14ac:dyDescent="0.35">
      <c r="A450" s="2" t="s">
        <v>38</v>
      </c>
      <c r="B450" s="2">
        <v>1453.84</v>
      </c>
      <c r="C450" s="2">
        <v>1453.9649999999999</v>
      </c>
      <c r="D450" s="2">
        <v>1459.49</v>
      </c>
      <c r="E450" s="2">
        <v>1451.49</v>
      </c>
      <c r="F450" s="1">
        <v>1.2999999999999999E-3</v>
      </c>
    </row>
    <row r="451" spans="1:6" x14ac:dyDescent="0.35">
      <c r="A451" s="2" t="s">
        <v>798</v>
      </c>
      <c r="B451" s="2">
        <v>453.08</v>
      </c>
      <c r="C451" s="2">
        <v>453.58</v>
      </c>
      <c r="D451" s="2">
        <v>460.5</v>
      </c>
      <c r="E451" s="2">
        <v>453.58</v>
      </c>
      <c r="F451" s="1">
        <v>0</v>
      </c>
    </row>
    <row r="452" spans="1:6" x14ac:dyDescent="0.35">
      <c r="A452" s="2" t="s">
        <v>537</v>
      </c>
      <c r="B452" s="2">
        <v>894.52</v>
      </c>
      <c r="C452" s="2">
        <v>859.06</v>
      </c>
      <c r="D452" s="2">
        <v>910.75</v>
      </c>
      <c r="E452" s="2">
        <v>859.06</v>
      </c>
      <c r="F452" s="1">
        <v>4.2599999999999999E-2</v>
      </c>
    </row>
    <row r="453" spans="1:6" x14ac:dyDescent="0.35">
      <c r="A453" s="2" t="s">
        <v>254</v>
      </c>
      <c r="B453" s="2">
        <v>1504</v>
      </c>
      <c r="C453" s="2">
        <v>1511</v>
      </c>
      <c r="D453" s="2">
        <v>1512.5</v>
      </c>
      <c r="E453" s="2">
        <v>1503</v>
      </c>
      <c r="F453" s="1">
        <v>-4.0000000000000001E-3</v>
      </c>
    </row>
    <row r="454" spans="1:6" x14ac:dyDescent="0.35">
      <c r="A454" s="2" t="s">
        <v>495</v>
      </c>
      <c r="B454" s="2">
        <v>1572.01</v>
      </c>
      <c r="C454" s="2">
        <v>1610.74</v>
      </c>
      <c r="D454" s="2">
        <v>1610.74</v>
      </c>
      <c r="E454" s="2">
        <v>1400.25</v>
      </c>
      <c r="F454" s="1">
        <v>-2.3400000000000001E-2</v>
      </c>
    </row>
    <row r="455" spans="1:6" x14ac:dyDescent="0.35">
      <c r="A455" s="2" t="s">
        <v>234</v>
      </c>
      <c r="B455" s="2">
        <v>1527.03</v>
      </c>
      <c r="C455" s="2">
        <v>1547.82</v>
      </c>
      <c r="D455" s="2">
        <v>1550.91</v>
      </c>
      <c r="E455" s="2">
        <v>1528.03</v>
      </c>
      <c r="F455" s="1">
        <v>-1.1599999999999999E-2</v>
      </c>
    </row>
    <row r="456" spans="1:6" x14ac:dyDescent="0.35">
      <c r="A456" s="2" t="s">
        <v>734</v>
      </c>
      <c r="B456" s="2">
        <v>459.91</v>
      </c>
      <c r="C456" s="2">
        <v>460.42</v>
      </c>
      <c r="D456" s="2">
        <v>460.42</v>
      </c>
      <c r="E456" s="2">
        <v>460.41</v>
      </c>
      <c r="F456" s="1">
        <v>0</v>
      </c>
    </row>
    <row r="457" spans="1:6" x14ac:dyDescent="0.35">
      <c r="A457" s="2" t="s">
        <v>472</v>
      </c>
      <c r="B457" s="2">
        <v>1147.53</v>
      </c>
      <c r="C457" s="2">
        <v>1161.71</v>
      </c>
      <c r="D457" s="2">
        <v>1177.855</v>
      </c>
      <c r="E457" s="2">
        <v>1137.2650000000001</v>
      </c>
      <c r="F457" s="1">
        <v>-1.14E-2</v>
      </c>
    </row>
    <row r="458" spans="1:6" x14ac:dyDescent="0.35">
      <c r="A458" s="2" t="s">
        <v>211</v>
      </c>
      <c r="B458" s="2">
        <v>1600.5</v>
      </c>
      <c r="C458" s="2">
        <v>1599.14</v>
      </c>
      <c r="D458" s="2">
        <v>1612.125</v>
      </c>
      <c r="E458" s="2">
        <v>1599.07</v>
      </c>
      <c r="F458" s="1">
        <v>-2.0000000000000001E-4</v>
      </c>
    </row>
    <row r="459" spans="1:6" x14ac:dyDescent="0.35">
      <c r="A459" s="2" t="s">
        <v>712</v>
      </c>
      <c r="B459" s="2">
        <v>460.36</v>
      </c>
      <c r="C459" s="2">
        <v>460.7</v>
      </c>
      <c r="D459" s="2">
        <v>460.86</v>
      </c>
      <c r="E459" s="2">
        <v>460.7</v>
      </c>
      <c r="F459" s="1">
        <v>2.9999999999999997E-4</v>
      </c>
    </row>
    <row r="460" spans="1:6" x14ac:dyDescent="0.35">
      <c r="A460" s="2" t="s">
        <v>429</v>
      </c>
      <c r="B460" s="2">
        <v>1495</v>
      </c>
      <c r="C460" s="2">
        <v>1505</v>
      </c>
      <c r="D460" s="2">
        <v>1510.82</v>
      </c>
      <c r="E460" s="2">
        <v>1471.82</v>
      </c>
      <c r="F460" s="1">
        <v>8.9999999999999993E-3</v>
      </c>
    </row>
    <row r="461" spans="1:6" x14ac:dyDescent="0.35">
      <c r="A461" s="2" t="s">
        <v>168</v>
      </c>
      <c r="B461" s="2">
        <v>1546.94</v>
      </c>
      <c r="C461" s="2">
        <v>1543.17</v>
      </c>
      <c r="D461" s="2">
        <v>1549.9</v>
      </c>
      <c r="E461" s="2">
        <v>1542.375</v>
      </c>
      <c r="F461" s="1">
        <v>1.1999999999999999E-3</v>
      </c>
    </row>
    <row r="462" spans="1:6" x14ac:dyDescent="0.35">
      <c r="A462" s="2" t="s">
        <v>669</v>
      </c>
      <c r="B462" s="2">
        <v>788</v>
      </c>
      <c r="C462" s="2">
        <v>776.17</v>
      </c>
      <c r="D462" s="2">
        <v>791.3</v>
      </c>
      <c r="E462" s="2">
        <v>773.31</v>
      </c>
      <c r="F462" s="1">
        <v>1.72E-2</v>
      </c>
    </row>
    <row r="463" spans="1:6" x14ac:dyDescent="0.35">
      <c r="A463" s="2" t="s">
        <v>407</v>
      </c>
      <c r="B463" s="2">
        <v>1620</v>
      </c>
      <c r="C463" s="2">
        <v>1595</v>
      </c>
      <c r="D463" s="2">
        <v>1660</v>
      </c>
      <c r="E463" s="2">
        <v>1564.7449999999999</v>
      </c>
      <c r="F463" s="1">
        <v>1.5699999999999999E-2</v>
      </c>
    </row>
    <row r="464" spans="1:6" x14ac:dyDescent="0.35">
      <c r="A464" s="2" t="s">
        <v>146</v>
      </c>
      <c r="B464" s="2">
        <v>1531.93</v>
      </c>
      <c r="C464" s="2">
        <v>1533.31</v>
      </c>
      <c r="D464" s="2">
        <v>1535.3150000000001</v>
      </c>
      <c r="E464" s="2">
        <v>1526.44</v>
      </c>
      <c r="F464" s="1">
        <v>2.8999999999999998E-3</v>
      </c>
    </row>
    <row r="465" spans="1:6" x14ac:dyDescent="0.35">
      <c r="A465" s="2" t="s">
        <v>646</v>
      </c>
      <c r="B465" s="2">
        <v>744.93</v>
      </c>
      <c r="C465" s="2">
        <v>767.97</v>
      </c>
      <c r="D465" s="2">
        <v>769.5</v>
      </c>
      <c r="E465" s="2">
        <v>746.43</v>
      </c>
      <c r="F465" s="1">
        <v>-2.81E-2</v>
      </c>
    </row>
    <row r="466" spans="1:6" x14ac:dyDescent="0.35">
      <c r="A466" s="2" t="s">
        <v>125</v>
      </c>
      <c r="B466" s="2">
        <v>1534.26</v>
      </c>
      <c r="C466" s="2">
        <v>1529</v>
      </c>
      <c r="D466" s="2">
        <v>1535.53</v>
      </c>
      <c r="E466" s="2">
        <v>1528.7149999999999</v>
      </c>
      <c r="F466" s="1">
        <v>3.2000000000000002E-3</v>
      </c>
    </row>
    <row r="467" spans="1:6" x14ac:dyDescent="0.35">
      <c r="A467" s="2" t="s">
        <v>625</v>
      </c>
      <c r="B467" s="2">
        <v>759.93</v>
      </c>
      <c r="C467" s="2">
        <v>768.24</v>
      </c>
      <c r="D467" s="2">
        <v>789.5</v>
      </c>
      <c r="E467" s="2">
        <v>760.43</v>
      </c>
      <c r="F467" s="1">
        <v>-1.0200000000000001E-2</v>
      </c>
    </row>
    <row r="468" spans="1:6" x14ac:dyDescent="0.35">
      <c r="A468" s="2" t="s">
        <v>363</v>
      </c>
      <c r="B468" s="2">
        <v>1639.2</v>
      </c>
      <c r="C468" s="2">
        <v>1639.2</v>
      </c>
      <c r="D468" s="2">
        <v>1661.87</v>
      </c>
      <c r="E468" s="2">
        <v>1617.5</v>
      </c>
      <c r="F468" s="1">
        <v>0</v>
      </c>
    </row>
    <row r="469" spans="1:6" x14ac:dyDescent="0.35">
      <c r="A469" s="2" t="s">
        <v>102</v>
      </c>
      <c r="B469" s="2">
        <v>1495.655</v>
      </c>
      <c r="C469" s="2">
        <v>1495.59</v>
      </c>
      <c r="D469" s="2">
        <v>1500.145</v>
      </c>
      <c r="E469" s="2">
        <v>1488.62</v>
      </c>
      <c r="F469" s="1">
        <v>1E-4</v>
      </c>
    </row>
    <row r="470" spans="1:6" x14ac:dyDescent="0.35">
      <c r="A470" s="2" t="s">
        <v>603</v>
      </c>
      <c r="B470" s="2">
        <v>774.44</v>
      </c>
      <c r="C470" s="2">
        <v>764.74</v>
      </c>
      <c r="D470" s="2">
        <v>774.94</v>
      </c>
      <c r="E470" s="2">
        <v>764.62</v>
      </c>
      <c r="F470" s="1">
        <v>1.3299999999999999E-2</v>
      </c>
    </row>
    <row r="471" spans="1:6" x14ac:dyDescent="0.35">
      <c r="A471" s="2" t="s">
        <v>341</v>
      </c>
      <c r="B471" s="2">
        <v>1635</v>
      </c>
      <c r="C471" s="2">
        <v>1635</v>
      </c>
      <c r="D471" s="2">
        <v>1656.08</v>
      </c>
      <c r="E471" s="2">
        <v>1631.865</v>
      </c>
      <c r="F471" s="1">
        <v>0</v>
      </c>
    </row>
    <row r="472" spans="1:6" x14ac:dyDescent="0.35">
      <c r="A472" s="2" t="s">
        <v>320</v>
      </c>
      <c r="B472" s="2">
        <v>1664.95</v>
      </c>
      <c r="C472" s="2">
        <v>1658.93</v>
      </c>
      <c r="D472" s="2">
        <v>1697.5</v>
      </c>
      <c r="E472" s="2">
        <v>1657.28</v>
      </c>
      <c r="F472" s="1">
        <v>6.1999999999999998E-3</v>
      </c>
    </row>
    <row r="473" spans="1:6" x14ac:dyDescent="0.35">
      <c r="A473" s="2" t="s">
        <v>59</v>
      </c>
      <c r="B473" s="2">
        <v>1449.35</v>
      </c>
      <c r="C473" s="2">
        <v>1445.105</v>
      </c>
      <c r="D473" s="2">
        <v>1452.575</v>
      </c>
      <c r="E473" s="2">
        <v>1442.18</v>
      </c>
      <c r="F473" s="1">
        <v>3.0000000000000001E-3</v>
      </c>
    </row>
    <row r="474" spans="1:6" x14ac:dyDescent="0.35">
      <c r="A474" s="2" t="s">
        <v>560</v>
      </c>
      <c r="B474" s="2">
        <v>789</v>
      </c>
      <c r="C474" s="2">
        <v>790</v>
      </c>
      <c r="D474" s="2">
        <v>790</v>
      </c>
      <c r="E474" s="2">
        <v>790</v>
      </c>
      <c r="F474" s="1">
        <v>0</v>
      </c>
    </row>
    <row r="475" spans="1:6" x14ac:dyDescent="0.35">
      <c r="A475" s="2" t="s">
        <v>298</v>
      </c>
      <c r="B475" s="2">
        <v>1545.45</v>
      </c>
      <c r="C475" s="2">
        <v>1556.75</v>
      </c>
      <c r="D475" s="2">
        <v>1637.5</v>
      </c>
      <c r="E475" s="2">
        <v>1527.2750000000001</v>
      </c>
      <c r="F475" s="1">
        <v>-8.0000000000000004E-4</v>
      </c>
    </row>
    <row r="476" spans="1:6" x14ac:dyDescent="0.35">
      <c r="A476" s="2" t="s">
        <v>37</v>
      </c>
      <c r="B476" s="2">
        <v>1455.75</v>
      </c>
      <c r="C476" s="2">
        <v>1455.95</v>
      </c>
      <c r="D476" s="2">
        <v>1459.89</v>
      </c>
      <c r="E476" s="2">
        <v>1452.65</v>
      </c>
      <c r="F476" s="1">
        <v>1.2999999999999999E-3</v>
      </c>
    </row>
    <row r="477" spans="1:6" x14ac:dyDescent="0.35">
      <c r="A477" s="2" t="s">
        <v>797</v>
      </c>
      <c r="B477" s="2">
        <v>453.08</v>
      </c>
      <c r="C477" s="2">
        <v>453.58</v>
      </c>
      <c r="D477" s="2">
        <v>460.5</v>
      </c>
      <c r="E477" s="2">
        <v>453.58</v>
      </c>
      <c r="F477" s="1">
        <v>0</v>
      </c>
    </row>
    <row r="478" spans="1:6" x14ac:dyDescent="0.35">
      <c r="A478" s="2" t="s">
        <v>536</v>
      </c>
      <c r="B478" s="2">
        <v>890.04</v>
      </c>
      <c r="C478" s="2">
        <v>895.52</v>
      </c>
      <c r="D478" s="2">
        <v>910.75</v>
      </c>
      <c r="E478" s="2">
        <v>860.5</v>
      </c>
      <c r="F478" s="1">
        <v>-5.0000000000000001E-3</v>
      </c>
    </row>
    <row r="479" spans="1:6" x14ac:dyDescent="0.35">
      <c r="A479" s="2" t="s">
        <v>15</v>
      </c>
      <c r="B479" s="2">
        <v>1419.415</v>
      </c>
      <c r="C479" s="2">
        <v>1420</v>
      </c>
      <c r="D479" s="2">
        <v>1423.43</v>
      </c>
      <c r="E479" s="2">
        <v>1415.79</v>
      </c>
      <c r="F479" s="1">
        <v>1.6000000000000001E-3</v>
      </c>
    </row>
    <row r="480" spans="1:6" x14ac:dyDescent="0.35">
      <c r="A480" s="2" t="s">
        <v>515</v>
      </c>
      <c r="B480" s="2">
        <v>1492.73</v>
      </c>
      <c r="C480" s="2">
        <v>1493.73</v>
      </c>
      <c r="D480" s="2">
        <v>1531</v>
      </c>
      <c r="E480" s="2">
        <v>1250.75</v>
      </c>
      <c r="F480" s="1">
        <v>0</v>
      </c>
    </row>
    <row r="481" spans="1:6" x14ac:dyDescent="0.35">
      <c r="A481" s="2" t="s">
        <v>253</v>
      </c>
      <c r="B481" s="2">
        <v>1503</v>
      </c>
      <c r="C481" s="2">
        <v>1505</v>
      </c>
      <c r="D481" s="2">
        <v>1512.5</v>
      </c>
      <c r="E481" s="2">
        <v>1503.5</v>
      </c>
      <c r="F481" s="1">
        <v>-6.9999999999999999E-4</v>
      </c>
    </row>
    <row r="482" spans="1:6" x14ac:dyDescent="0.35">
      <c r="A482" s="2" t="s">
        <v>494</v>
      </c>
      <c r="B482" s="2">
        <v>1476.25</v>
      </c>
      <c r="C482" s="2">
        <v>1573.01</v>
      </c>
      <c r="D482" s="2">
        <v>1573.5050000000001</v>
      </c>
      <c r="E482" s="2">
        <v>1477.25</v>
      </c>
      <c r="F482" s="1">
        <v>-6.0900000000000003E-2</v>
      </c>
    </row>
    <row r="483" spans="1:6" x14ac:dyDescent="0.35">
      <c r="A483" s="2" t="s">
        <v>233</v>
      </c>
      <c r="B483" s="2">
        <v>1519</v>
      </c>
      <c r="C483" s="2">
        <v>1528.03</v>
      </c>
      <c r="D483" s="2">
        <v>1550</v>
      </c>
      <c r="E483" s="2">
        <v>1520</v>
      </c>
      <c r="F483" s="1">
        <v>-5.3E-3</v>
      </c>
    </row>
    <row r="484" spans="1:6" x14ac:dyDescent="0.35">
      <c r="A484" s="2" t="s">
        <v>733</v>
      </c>
      <c r="B484" s="2">
        <v>460.03</v>
      </c>
      <c r="C484" s="2">
        <v>460.41</v>
      </c>
      <c r="D484" s="2">
        <v>460.53</v>
      </c>
      <c r="E484" s="2">
        <v>460.32</v>
      </c>
      <c r="F484" s="1">
        <v>2.9999999999999997E-4</v>
      </c>
    </row>
    <row r="485" spans="1:6" x14ac:dyDescent="0.35">
      <c r="A485" s="2" t="s">
        <v>471</v>
      </c>
      <c r="B485" s="2">
        <v>1002</v>
      </c>
      <c r="C485" s="2">
        <v>1148.53</v>
      </c>
      <c r="D485" s="2">
        <v>1350</v>
      </c>
      <c r="E485" s="2">
        <v>1002</v>
      </c>
      <c r="F485" s="1">
        <v>-0.1268</v>
      </c>
    </row>
    <row r="486" spans="1:6" x14ac:dyDescent="0.35">
      <c r="A486" s="2" t="s">
        <v>711</v>
      </c>
      <c r="B486" s="2">
        <v>460.34</v>
      </c>
      <c r="C486" s="2">
        <v>460.86</v>
      </c>
      <c r="D486" s="2">
        <v>463.5</v>
      </c>
      <c r="E486" s="2">
        <v>460.84</v>
      </c>
      <c r="F486" s="1">
        <v>0</v>
      </c>
    </row>
    <row r="487" spans="1:6" x14ac:dyDescent="0.35">
      <c r="A487" s="2" t="s">
        <v>190</v>
      </c>
      <c r="B487" s="2">
        <v>1599.9449999999999</v>
      </c>
      <c r="C487" s="2">
        <v>1602</v>
      </c>
      <c r="D487" s="2">
        <v>1607.125</v>
      </c>
      <c r="E487" s="2">
        <v>1596.35</v>
      </c>
      <c r="F487" s="1">
        <v>-1.1000000000000001E-3</v>
      </c>
    </row>
    <row r="488" spans="1:6" x14ac:dyDescent="0.35">
      <c r="A488" s="2" t="s">
        <v>690</v>
      </c>
      <c r="B488" s="2">
        <v>686.96</v>
      </c>
      <c r="C488" s="2">
        <v>656.5</v>
      </c>
      <c r="D488" s="2">
        <v>687.46</v>
      </c>
      <c r="E488" s="2">
        <v>650.5</v>
      </c>
      <c r="F488" s="1">
        <v>4.8800000000000003E-2</v>
      </c>
    </row>
    <row r="489" spans="1:6" x14ac:dyDescent="0.35">
      <c r="A489" s="2" t="s">
        <v>428</v>
      </c>
      <c r="B489" s="2">
        <v>1495</v>
      </c>
      <c r="C489" s="2">
        <v>1495</v>
      </c>
      <c r="D489" s="2">
        <v>1505.82</v>
      </c>
      <c r="E489" s="2">
        <v>1462.5</v>
      </c>
      <c r="F489" s="1">
        <v>0</v>
      </c>
    </row>
    <row r="490" spans="1:6" x14ac:dyDescent="0.35">
      <c r="A490" s="2" t="s">
        <v>167</v>
      </c>
      <c r="B490" s="2">
        <v>1548.7950000000001</v>
      </c>
      <c r="C490" s="2">
        <v>1546.9449999999999</v>
      </c>
      <c r="D490" s="2">
        <v>1552.8050000000001</v>
      </c>
      <c r="E490" s="2">
        <v>1543.6949999999999</v>
      </c>
      <c r="F490" s="1">
        <v>1.1999999999999999E-3</v>
      </c>
    </row>
    <row r="491" spans="1:6" x14ac:dyDescent="0.35">
      <c r="A491" s="2" t="s">
        <v>668</v>
      </c>
      <c r="B491" s="2">
        <v>781.31</v>
      </c>
      <c r="C491" s="2">
        <v>773.31</v>
      </c>
      <c r="D491" s="2">
        <v>799.5</v>
      </c>
      <c r="E491" s="2">
        <v>773.31</v>
      </c>
      <c r="F491" s="1">
        <v>-8.5000000000000006E-3</v>
      </c>
    </row>
    <row r="492" spans="1:6" x14ac:dyDescent="0.35">
      <c r="A492" s="2" t="s">
        <v>406</v>
      </c>
      <c r="B492" s="2">
        <v>1625</v>
      </c>
      <c r="C492" s="2">
        <v>1620</v>
      </c>
      <c r="D492" s="2">
        <v>1637.5</v>
      </c>
      <c r="E492" s="2">
        <v>1574.45</v>
      </c>
      <c r="F492" s="1">
        <v>3.0999999999999999E-3</v>
      </c>
    </row>
    <row r="493" spans="1:6" x14ac:dyDescent="0.35">
      <c r="A493" s="2" t="s">
        <v>385</v>
      </c>
      <c r="B493" s="2">
        <v>1590</v>
      </c>
      <c r="C493" s="2">
        <v>1585.34</v>
      </c>
      <c r="D493" s="2">
        <v>1624.67</v>
      </c>
      <c r="E493" s="2">
        <v>1557.5</v>
      </c>
      <c r="F493" s="1">
        <v>0</v>
      </c>
    </row>
    <row r="494" spans="1:6" x14ac:dyDescent="0.35">
      <c r="A494" s="2" t="s">
        <v>124</v>
      </c>
      <c r="B494" s="2">
        <v>1533.01</v>
      </c>
      <c r="C494" s="2">
        <v>1529.77</v>
      </c>
      <c r="D494" s="2">
        <v>1536.4</v>
      </c>
      <c r="E494" s="2">
        <v>1529.77</v>
      </c>
      <c r="F494" s="1">
        <v>-8.0000000000000004E-4</v>
      </c>
    </row>
    <row r="495" spans="1:6" x14ac:dyDescent="0.35">
      <c r="A495" s="2" t="s">
        <v>624</v>
      </c>
      <c r="B495" s="2">
        <v>775.33</v>
      </c>
      <c r="C495" s="2">
        <v>760.43</v>
      </c>
      <c r="D495" s="2">
        <v>789.5</v>
      </c>
      <c r="E495" s="2">
        <v>760.43</v>
      </c>
      <c r="F495" s="1">
        <v>2.0299999999999999E-2</v>
      </c>
    </row>
    <row r="496" spans="1:6" x14ac:dyDescent="0.35">
      <c r="A496" s="2" t="s">
        <v>362</v>
      </c>
      <c r="B496" s="2">
        <v>1639.2</v>
      </c>
      <c r="C496" s="2">
        <v>1639.2</v>
      </c>
      <c r="D496" s="2">
        <v>1659.37</v>
      </c>
      <c r="E496" s="2">
        <v>1594.37</v>
      </c>
      <c r="F496" s="1">
        <v>0</v>
      </c>
    </row>
    <row r="497" spans="1:6" x14ac:dyDescent="0.35">
      <c r="A497" s="2" t="s">
        <v>101</v>
      </c>
      <c r="B497" s="2">
        <v>1492.81</v>
      </c>
      <c r="C497" s="2">
        <v>1497.655</v>
      </c>
      <c r="D497" s="2">
        <v>1501.895</v>
      </c>
      <c r="E497" s="2">
        <v>1490.7750000000001</v>
      </c>
      <c r="F497" s="1">
        <v>-1.9E-3</v>
      </c>
    </row>
    <row r="498" spans="1:6" x14ac:dyDescent="0.35">
      <c r="A498" s="2" t="s">
        <v>602</v>
      </c>
      <c r="B498" s="2">
        <v>764</v>
      </c>
      <c r="C498" s="2">
        <v>774.94</v>
      </c>
      <c r="D498" s="2">
        <v>774.94</v>
      </c>
      <c r="E498" s="2">
        <v>766</v>
      </c>
      <c r="F498" s="1">
        <v>-1.35E-2</v>
      </c>
    </row>
    <row r="499" spans="1:6" x14ac:dyDescent="0.35">
      <c r="A499" s="2" t="s">
        <v>319</v>
      </c>
      <c r="B499" s="2">
        <v>1666.69</v>
      </c>
      <c r="C499" s="2">
        <v>1676.95</v>
      </c>
      <c r="D499" s="2">
        <v>1708.61</v>
      </c>
      <c r="E499" s="2">
        <v>1650</v>
      </c>
      <c r="F499" s="1">
        <v>1E-3</v>
      </c>
    </row>
    <row r="500" spans="1:6" x14ac:dyDescent="0.35">
      <c r="A500" s="2" t="s">
        <v>58</v>
      </c>
      <c r="B500" s="2">
        <v>1450.27</v>
      </c>
      <c r="C500" s="2">
        <v>1448.7149999999999</v>
      </c>
      <c r="D500" s="2">
        <v>1455</v>
      </c>
      <c r="E500" s="2">
        <v>1446.5050000000001</v>
      </c>
      <c r="F500" s="1">
        <v>5.9999999999999995E-4</v>
      </c>
    </row>
    <row r="501" spans="1:6" x14ac:dyDescent="0.35">
      <c r="A501" s="2" t="s">
        <v>559</v>
      </c>
      <c r="B501" s="2">
        <v>824</v>
      </c>
      <c r="C501" s="2">
        <v>825</v>
      </c>
      <c r="D501" s="2">
        <v>825</v>
      </c>
      <c r="E501" s="2">
        <v>825</v>
      </c>
      <c r="F501" s="1">
        <v>4.4400000000000002E-2</v>
      </c>
    </row>
    <row r="502" spans="1:6" x14ac:dyDescent="0.35">
      <c r="A502" s="2" t="s">
        <v>297</v>
      </c>
      <c r="B502" s="2">
        <v>1541.43</v>
      </c>
      <c r="C502" s="2">
        <v>1555.45</v>
      </c>
      <c r="D502" s="2">
        <v>1555.45</v>
      </c>
      <c r="E502" s="2">
        <v>1534.11</v>
      </c>
      <c r="F502" s="1">
        <v>-2.5999999999999999E-3</v>
      </c>
    </row>
    <row r="503" spans="1:6" x14ac:dyDescent="0.35">
      <c r="A503" s="2" t="s">
        <v>36</v>
      </c>
      <c r="B503" s="2">
        <v>1460.5050000000001</v>
      </c>
      <c r="C503" s="2">
        <v>1455.75</v>
      </c>
      <c r="D503" s="2">
        <v>1464.5550000000001</v>
      </c>
      <c r="E503" s="2">
        <v>1455.375</v>
      </c>
      <c r="F503" s="1">
        <v>3.3E-3</v>
      </c>
    </row>
    <row r="504" spans="1:6" x14ac:dyDescent="0.35">
      <c r="A504" s="2" t="s">
        <v>796</v>
      </c>
      <c r="B504" s="2">
        <v>454.56</v>
      </c>
      <c r="C504" s="2">
        <v>453.58</v>
      </c>
      <c r="D504" s="2">
        <v>455.06</v>
      </c>
      <c r="E504" s="2">
        <v>453.58</v>
      </c>
      <c r="F504" s="1">
        <v>3.3E-3</v>
      </c>
    </row>
    <row r="505" spans="1:6" x14ac:dyDescent="0.35">
      <c r="A505" s="2" t="s">
        <v>275</v>
      </c>
      <c r="B505" s="2">
        <v>1544.11</v>
      </c>
      <c r="C505" s="2">
        <v>1549.2</v>
      </c>
      <c r="D505" s="2">
        <v>1573.6</v>
      </c>
      <c r="E505" s="2">
        <v>1544.5</v>
      </c>
      <c r="F505" s="1">
        <v>-1.6999999999999999E-3</v>
      </c>
    </row>
    <row r="506" spans="1:6" x14ac:dyDescent="0.35">
      <c r="A506" s="2" t="s">
        <v>14</v>
      </c>
      <c r="B506" s="2">
        <v>1418.655</v>
      </c>
      <c r="C506" s="2">
        <v>1417.1</v>
      </c>
      <c r="D506" s="2">
        <v>1422.61</v>
      </c>
      <c r="E506" s="2">
        <v>1415.845</v>
      </c>
      <c r="F506" s="1">
        <v>-5.0000000000000001E-4</v>
      </c>
    </row>
    <row r="507" spans="1:6" x14ac:dyDescent="0.35">
      <c r="A507" s="2" t="s">
        <v>775</v>
      </c>
      <c r="B507" s="2">
        <v>460.05</v>
      </c>
      <c r="C507" s="2">
        <v>460.54</v>
      </c>
      <c r="D507" s="2">
        <v>460.55</v>
      </c>
      <c r="E507" s="2">
        <v>460.5</v>
      </c>
      <c r="F507" s="1">
        <v>0</v>
      </c>
    </row>
    <row r="508" spans="1:6" x14ac:dyDescent="0.35">
      <c r="A508" s="2" t="s">
        <v>514</v>
      </c>
      <c r="B508" s="2">
        <v>1605</v>
      </c>
      <c r="C508" s="2">
        <v>1493.73</v>
      </c>
      <c r="D508" s="2">
        <v>1607.65</v>
      </c>
      <c r="E508" s="2">
        <v>1490.5</v>
      </c>
      <c r="F508" s="1">
        <v>7.5200000000000003E-2</v>
      </c>
    </row>
    <row r="509" spans="1:6" x14ac:dyDescent="0.35">
      <c r="A509" s="2" t="s">
        <v>252</v>
      </c>
      <c r="B509" s="2">
        <v>1508.04</v>
      </c>
      <c r="C509" s="2">
        <v>1504</v>
      </c>
      <c r="D509" s="2">
        <v>1513.02</v>
      </c>
      <c r="E509" s="2">
        <v>1480</v>
      </c>
      <c r="F509" s="1">
        <v>3.3999999999999998E-3</v>
      </c>
    </row>
    <row r="510" spans="1:6" x14ac:dyDescent="0.35">
      <c r="A510" s="2" t="s">
        <v>755</v>
      </c>
      <c r="B510" s="2">
        <v>459.89</v>
      </c>
      <c r="C510" s="2">
        <v>460.44</v>
      </c>
      <c r="D510" s="2">
        <v>460.5</v>
      </c>
      <c r="E510" s="2">
        <v>460.39</v>
      </c>
      <c r="F510" s="1">
        <v>-1E-4</v>
      </c>
    </row>
    <row r="511" spans="1:6" x14ac:dyDescent="0.35">
      <c r="A511" s="2" t="s">
        <v>493</v>
      </c>
      <c r="B511" s="2">
        <v>1561.19</v>
      </c>
      <c r="C511" s="2">
        <v>1477.25</v>
      </c>
      <c r="D511" s="2">
        <v>1573.5</v>
      </c>
      <c r="E511" s="2">
        <v>1420.5</v>
      </c>
      <c r="F511" s="1">
        <v>5.7500000000000002E-2</v>
      </c>
    </row>
    <row r="512" spans="1:6" x14ac:dyDescent="0.35">
      <c r="A512" s="2" t="s">
        <v>232</v>
      </c>
      <c r="B512" s="2">
        <v>1519</v>
      </c>
      <c r="C512" s="2">
        <v>1520</v>
      </c>
      <c r="D512" s="2">
        <v>1550</v>
      </c>
      <c r="E512" s="2">
        <v>1520</v>
      </c>
      <c r="F512" s="1">
        <v>0</v>
      </c>
    </row>
    <row r="513" spans="1:6" x14ac:dyDescent="0.35">
      <c r="A513" s="2" t="s">
        <v>732</v>
      </c>
      <c r="B513" s="2">
        <v>460.03</v>
      </c>
      <c r="C513" s="2">
        <v>460.53</v>
      </c>
      <c r="D513" s="2">
        <v>460.53</v>
      </c>
      <c r="E513" s="2">
        <v>460.52</v>
      </c>
      <c r="F513" s="1">
        <v>0</v>
      </c>
    </row>
    <row r="514" spans="1:6" x14ac:dyDescent="0.35">
      <c r="A514" s="2" t="s">
        <v>450</v>
      </c>
      <c r="B514" s="2">
        <v>1529.85</v>
      </c>
      <c r="C514" s="2">
        <v>1468</v>
      </c>
      <c r="D514" s="2">
        <v>1534.425</v>
      </c>
      <c r="E514" s="2">
        <v>1456</v>
      </c>
      <c r="F514" s="1">
        <v>4.2799999999999998E-2</v>
      </c>
    </row>
    <row r="515" spans="1:6" x14ac:dyDescent="0.35">
      <c r="A515" s="2" t="s">
        <v>189</v>
      </c>
      <c r="B515" s="2">
        <v>1596.26</v>
      </c>
      <c r="C515" s="2">
        <v>1599.48</v>
      </c>
      <c r="D515" s="2">
        <v>1607.13</v>
      </c>
      <c r="E515" s="2">
        <v>1593.51</v>
      </c>
      <c r="F515" s="1">
        <v>-2.3E-3</v>
      </c>
    </row>
    <row r="516" spans="1:6" x14ac:dyDescent="0.35">
      <c r="A516" s="2" t="s">
        <v>689</v>
      </c>
      <c r="B516" s="2">
        <v>689</v>
      </c>
      <c r="C516" s="2">
        <v>680</v>
      </c>
      <c r="D516" s="2">
        <v>691</v>
      </c>
      <c r="E516" s="2">
        <v>680</v>
      </c>
      <c r="F516" s="1">
        <v>3.0000000000000001E-3</v>
      </c>
    </row>
    <row r="517" spans="1:6" x14ac:dyDescent="0.35">
      <c r="A517" s="2" t="s">
        <v>427</v>
      </c>
      <c r="B517" s="2">
        <v>1495</v>
      </c>
      <c r="C517" s="2">
        <v>1495</v>
      </c>
      <c r="D517" s="2">
        <v>1505.5</v>
      </c>
      <c r="E517" s="2">
        <v>1470</v>
      </c>
      <c r="F517" s="1">
        <v>0</v>
      </c>
    </row>
    <row r="518" spans="1:6" x14ac:dyDescent="0.35">
      <c r="A518" s="2" t="s">
        <v>166</v>
      </c>
      <c r="B518" s="2">
        <v>1548.61</v>
      </c>
      <c r="C518" s="2">
        <v>1548.8</v>
      </c>
      <c r="D518" s="2">
        <v>1554.2</v>
      </c>
      <c r="E518" s="2">
        <v>1545.29</v>
      </c>
      <c r="F518" s="1">
        <v>-1E-4</v>
      </c>
    </row>
    <row r="519" spans="1:6" x14ac:dyDescent="0.35">
      <c r="A519" s="2" t="s">
        <v>667</v>
      </c>
      <c r="B519" s="2">
        <v>789.51</v>
      </c>
      <c r="C519" s="2">
        <v>782.81</v>
      </c>
      <c r="D519" s="2">
        <v>791.5</v>
      </c>
      <c r="E519" s="2">
        <v>775.5</v>
      </c>
      <c r="F519" s="1">
        <v>1.0500000000000001E-2</v>
      </c>
    </row>
    <row r="520" spans="1:6" x14ac:dyDescent="0.35">
      <c r="A520" s="2" t="s">
        <v>384</v>
      </c>
      <c r="B520" s="2">
        <v>1575</v>
      </c>
      <c r="C520" s="2">
        <v>1590</v>
      </c>
      <c r="D520" s="2">
        <v>1608.885</v>
      </c>
      <c r="E520" s="2">
        <v>1558.345</v>
      </c>
      <c r="F520" s="1">
        <v>-9.4000000000000004E-3</v>
      </c>
    </row>
    <row r="521" spans="1:6" x14ac:dyDescent="0.35">
      <c r="A521" s="2" t="s">
        <v>123</v>
      </c>
      <c r="B521" s="2">
        <v>1536.81</v>
      </c>
      <c r="C521" s="2">
        <v>1534.31</v>
      </c>
      <c r="D521" s="2">
        <v>1537.845</v>
      </c>
      <c r="E521" s="2">
        <v>1532.585</v>
      </c>
      <c r="F521" s="1">
        <v>2.5000000000000001E-3</v>
      </c>
    </row>
    <row r="522" spans="1:6" x14ac:dyDescent="0.35">
      <c r="A522" s="2" t="s">
        <v>623</v>
      </c>
      <c r="B522" s="2">
        <v>770.27</v>
      </c>
      <c r="C522" s="2">
        <v>775.83</v>
      </c>
      <c r="D522" s="2">
        <v>784.5</v>
      </c>
      <c r="E522" s="2">
        <v>770.77</v>
      </c>
      <c r="F522" s="1">
        <v>-6.4999999999999997E-3</v>
      </c>
    </row>
    <row r="523" spans="1:6" x14ac:dyDescent="0.35">
      <c r="A523" s="2" t="s">
        <v>361</v>
      </c>
      <c r="B523" s="2">
        <v>1639.2</v>
      </c>
      <c r="C523" s="2">
        <v>1639.2</v>
      </c>
      <c r="D523" s="2">
        <v>1660</v>
      </c>
      <c r="E523" s="2">
        <v>1594.37</v>
      </c>
      <c r="F523" s="1">
        <v>0</v>
      </c>
    </row>
    <row r="524" spans="1:6" x14ac:dyDescent="0.35">
      <c r="A524" s="2" t="s">
        <v>601</v>
      </c>
      <c r="B524" s="2">
        <v>859.23</v>
      </c>
      <c r="C524" s="2">
        <v>859.73</v>
      </c>
      <c r="D524" s="2">
        <v>861.11500000000001</v>
      </c>
      <c r="E524" s="2">
        <v>859.11500000000001</v>
      </c>
      <c r="F524" s="1">
        <v>0.1246</v>
      </c>
    </row>
    <row r="525" spans="1:6" x14ac:dyDescent="0.35">
      <c r="A525" s="2" t="s">
        <v>80</v>
      </c>
      <c r="B525" s="2">
        <v>1465.77</v>
      </c>
      <c r="C525" s="2">
        <v>1468.99</v>
      </c>
      <c r="D525" s="2">
        <v>1475.87</v>
      </c>
      <c r="E525" s="2">
        <v>1465.0650000000001</v>
      </c>
      <c r="F525" s="1">
        <v>-2.5000000000000001E-3</v>
      </c>
    </row>
    <row r="526" spans="1:6" x14ac:dyDescent="0.35">
      <c r="A526" s="2" t="s">
        <v>580</v>
      </c>
      <c r="B526" s="2">
        <v>819.68</v>
      </c>
      <c r="C526" s="2">
        <v>840.04</v>
      </c>
      <c r="D526" s="2">
        <v>845.5</v>
      </c>
      <c r="E526" s="2">
        <v>819.84</v>
      </c>
      <c r="F526" s="1">
        <v>-2.3699999999999999E-2</v>
      </c>
    </row>
    <row r="527" spans="1:6" x14ac:dyDescent="0.35">
      <c r="A527" s="2" t="s">
        <v>318</v>
      </c>
      <c r="B527" s="2">
        <v>1669.07</v>
      </c>
      <c r="C527" s="2">
        <v>1678.69</v>
      </c>
      <c r="D527" s="2">
        <v>1717.5</v>
      </c>
      <c r="E527" s="2">
        <v>1671.645</v>
      </c>
      <c r="F527" s="1">
        <v>1.4E-3</v>
      </c>
    </row>
    <row r="528" spans="1:6" x14ac:dyDescent="0.35">
      <c r="A528" s="2" t="s">
        <v>57</v>
      </c>
      <c r="B528" s="2">
        <v>1453.49</v>
      </c>
      <c r="C528" s="2">
        <v>1452.35</v>
      </c>
      <c r="D528" s="2">
        <v>1459.5</v>
      </c>
      <c r="E528" s="2">
        <v>1445.5550000000001</v>
      </c>
      <c r="F528" s="1">
        <v>2.2000000000000001E-3</v>
      </c>
    </row>
    <row r="529" spans="1:6" x14ac:dyDescent="0.35">
      <c r="A529" s="2" t="s">
        <v>558</v>
      </c>
      <c r="B529" s="2">
        <v>824</v>
      </c>
      <c r="C529" s="2">
        <v>825</v>
      </c>
      <c r="D529" s="2">
        <v>825</v>
      </c>
      <c r="E529" s="2">
        <v>825</v>
      </c>
      <c r="F529" s="1">
        <v>0</v>
      </c>
    </row>
    <row r="530" spans="1:6" x14ac:dyDescent="0.35">
      <c r="A530" s="2" t="s">
        <v>296</v>
      </c>
      <c r="B530" s="2">
        <v>1538.07</v>
      </c>
      <c r="C530" s="2">
        <v>1551.43</v>
      </c>
      <c r="D530" s="2">
        <v>1551.43</v>
      </c>
      <c r="E530" s="2">
        <v>1537.43</v>
      </c>
      <c r="F530" s="1">
        <v>-2.2000000000000001E-3</v>
      </c>
    </row>
    <row r="531" spans="1:6" x14ac:dyDescent="0.35">
      <c r="A531" s="2" t="s">
        <v>274</v>
      </c>
      <c r="B531" s="2">
        <v>1545</v>
      </c>
      <c r="C531" s="2">
        <v>1554.11</v>
      </c>
      <c r="D531" s="2">
        <v>1556.5</v>
      </c>
      <c r="E531" s="2">
        <v>1546.5550000000001</v>
      </c>
      <c r="F531" s="1">
        <v>5.9999999999999995E-4</v>
      </c>
    </row>
    <row r="532" spans="1:6" x14ac:dyDescent="0.35">
      <c r="A532" s="2" t="s">
        <v>13</v>
      </c>
      <c r="B532" s="2">
        <v>1420.22</v>
      </c>
      <c r="C532" s="2">
        <v>1416.49</v>
      </c>
      <c r="D532" s="2">
        <v>1422.9449999999999</v>
      </c>
      <c r="E532" s="2">
        <v>1416.11</v>
      </c>
      <c r="F532" s="1">
        <v>1.1000000000000001E-3</v>
      </c>
    </row>
    <row r="533" spans="1:6" x14ac:dyDescent="0.35">
      <c r="A533" s="2" t="s">
        <v>774</v>
      </c>
      <c r="B533" s="2">
        <v>459.97</v>
      </c>
      <c r="C533" s="2">
        <v>460.55</v>
      </c>
      <c r="D533" s="2">
        <v>460.55</v>
      </c>
      <c r="E533" s="2">
        <v>460.47</v>
      </c>
      <c r="F533" s="1">
        <v>-2.0000000000000001E-4</v>
      </c>
    </row>
    <row r="534" spans="1:6" x14ac:dyDescent="0.35">
      <c r="A534" s="2" t="s">
        <v>513</v>
      </c>
      <c r="B534" s="2">
        <v>1605</v>
      </c>
      <c r="C534" s="2">
        <v>1606.3</v>
      </c>
      <c r="D534" s="2">
        <v>1680.75</v>
      </c>
      <c r="E534" s="2">
        <v>1420.5</v>
      </c>
      <c r="F534" s="1">
        <v>0</v>
      </c>
    </row>
    <row r="535" spans="1:6" x14ac:dyDescent="0.35">
      <c r="A535" s="2" t="s">
        <v>251</v>
      </c>
      <c r="B535" s="2">
        <v>1499.52</v>
      </c>
      <c r="C535" s="2">
        <v>1509.04</v>
      </c>
      <c r="D535" s="2">
        <v>1511.52</v>
      </c>
      <c r="E535" s="2">
        <v>1491.5</v>
      </c>
      <c r="F535" s="1">
        <v>-5.5999999999999999E-3</v>
      </c>
    </row>
    <row r="536" spans="1:6" x14ac:dyDescent="0.35">
      <c r="A536" s="2" t="s">
        <v>754</v>
      </c>
      <c r="B536" s="2">
        <v>459.92</v>
      </c>
      <c r="C536" s="2">
        <v>460.39</v>
      </c>
      <c r="D536" s="2">
        <v>460.42</v>
      </c>
      <c r="E536" s="2">
        <v>460.39</v>
      </c>
      <c r="F536" s="1">
        <v>1E-4</v>
      </c>
    </row>
    <row r="537" spans="1:6" x14ac:dyDescent="0.35">
      <c r="A537" s="2" t="s">
        <v>492</v>
      </c>
      <c r="B537" s="2">
        <v>1409.94</v>
      </c>
      <c r="C537" s="2">
        <v>1562.19</v>
      </c>
      <c r="D537" s="2">
        <v>1562.19</v>
      </c>
      <c r="E537" s="2">
        <v>1300.5</v>
      </c>
      <c r="F537" s="1">
        <v>-9.69E-2</v>
      </c>
    </row>
    <row r="538" spans="1:6" x14ac:dyDescent="0.35">
      <c r="A538" s="2" t="s">
        <v>231</v>
      </c>
      <c r="B538" s="2">
        <v>1545</v>
      </c>
      <c r="C538" s="2">
        <v>1520</v>
      </c>
      <c r="D538" s="2">
        <v>1550</v>
      </c>
      <c r="E538" s="2">
        <v>1520</v>
      </c>
      <c r="F538" s="1">
        <v>1.7100000000000001E-2</v>
      </c>
    </row>
    <row r="539" spans="1:6" x14ac:dyDescent="0.35">
      <c r="A539" s="2" t="s">
        <v>731</v>
      </c>
      <c r="B539" s="2">
        <v>460.03</v>
      </c>
      <c r="C539" s="2">
        <v>460.53</v>
      </c>
      <c r="D539" s="2">
        <v>460.54</v>
      </c>
      <c r="E539" s="2">
        <v>460.53</v>
      </c>
      <c r="F539" s="1">
        <v>0</v>
      </c>
    </row>
    <row r="540" spans="1:6" x14ac:dyDescent="0.35">
      <c r="A540" s="2" t="s">
        <v>210</v>
      </c>
      <c r="B540" s="2">
        <v>1600.71</v>
      </c>
      <c r="C540" s="2">
        <v>1605</v>
      </c>
      <c r="D540" s="2">
        <v>1612.3</v>
      </c>
      <c r="E540" s="2">
        <v>1599.29</v>
      </c>
      <c r="F540" s="1">
        <v>1E-4</v>
      </c>
    </row>
    <row r="541" spans="1:6" x14ac:dyDescent="0.35">
      <c r="A541" s="2" t="s">
        <v>449</v>
      </c>
      <c r="B541" s="2">
        <v>1415</v>
      </c>
      <c r="C541" s="2">
        <v>1530.85</v>
      </c>
      <c r="D541" s="2">
        <v>1530.85</v>
      </c>
      <c r="E541" s="2">
        <v>1416</v>
      </c>
      <c r="F541" s="1">
        <v>-7.51E-2</v>
      </c>
    </row>
    <row r="542" spans="1:6" x14ac:dyDescent="0.35">
      <c r="A542" s="2" t="s">
        <v>188</v>
      </c>
      <c r="B542" s="2">
        <v>1587.855</v>
      </c>
      <c r="C542" s="2">
        <v>1596.42</v>
      </c>
      <c r="D542" s="2">
        <v>1598.5050000000001</v>
      </c>
      <c r="E542" s="2">
        <v>1580</v>
      </c>
      <c r="F542" s="1">
        <v>-5.3E-3</v>
      </c>
    </row>
    <row r="543" spans="1:6" x14ac:dyDescent="0.35">
      <c r="A543" s="2" t="s">
        <v>688</v>
      </c>
      <c r="B543" s="2">
        <v>745</v>
      </c>
      <c r="C543" s="2">
        <v>690.5</v>
      </c>
      <c r="D543" s="2">
        <v>750</v>
      </c>
      <c r="E543" s="2">
        <v>690.5</v>
      </c>
      <c r="F543" s="1">
        <v>8.1299999999999997E-2</v>
      </c>
    </row>
    <row r="544" spans="1:6" x14ac:dyDescent="0.35">
      <c r="A544" s="2" t="s">
        <v>426</v>
      </c>
      <c r="B544" s="2">
        <v>1515</v>
      </c>
      <c r="C544" s="2">
        <v>1495</v>
      </c>
      <c r="D544" s="2">
        <v>1516.15</v>
      </c>
      <c r="E544" s="2">
        <v>1467.5</v>
      </c>
      <c r="F544" s="1">
        <v>1.34E-2</v>
      </c>
    </row>
    <row r="545" spans="1:6" x14ac:dyDescent="0.35">
      <c r="A545" s="2" t="s">
        <v>666</v>
      </c>
      <c r="B545" s="2">
        <v>774.5</v>
      </c>
      <c r="C545" s="2">
        <v>791.01</v>
      </c>
      <c r="D545" s="2">
        <v>792.5</v>
      </c>
      <c r="E545" s="2">
        <v>775.25</v>
      </c>
      <c r="F545" s="1">
        <v>-1.9E-2</v>
      </c>
    </row>
    <row r="546" spans="1:6" x14ac:dyDescent="0.35">
      <c r="A546" s="2" t="s">
        <v>145</v>
      </c>
      <c r="B546" s="2">
        <v>1529.97</v>
      </c>
      <c r="C546" s="2">
        <v>1528.95</v>
      </c>
      <c r="D546" s="2">
        <v>1537.06</v>
      </c>
      <c r="E546" s="2">
        <v>1527.4749999999999</v>
      </c>
      <c r="F546" s="1">
        <v>-1.2999999999999999E-3</v>
      </c>
    </row>
    <row r="547" spans="1:6" x14ac:dyDescent="0.35">
      <c r="A547" s="2" t="s">
        <v>645</v>
      </c>
      <c r="B547" s="2">
        <v>743.64</v>
      </c>
      <c r="C547" s="2">
        <v>746.43</v>
      </c>
      <c r="D547" s="2">
        <v>769.5</v>
      </c>
      <c r="E547" s="2">
        <v>745.14</v>
      </c>
      <c r="F547" s="1">
        <v>-1.6999999999999999E-3</v>
      </c>
    </row>
    <row r="548" spans="1:6" x14ac:dyDescent="0.35">
      <c r="A548" s="2" t="s">
        <v>383</v>
      </c>
      <c r="B548" s="2">
        <v>1575</v>
      </c>
      <c r="C548" s="2">
        <v>1575.69</v>
      </c>
      <c r="D548" s="2">
        <v>1606.175</v>
      </c>
      <c r="E548" s="2">
        <v>1563.345</v>
      </c>
      <c r="F548" s="1">
        <v>0</v>
      </c>
    </row>
    <row r="549" spans="1:6" x14ac:dyDescent="0.35">
      <c r="A549" s="2" t="s">
        <v>122</v>
      </c>
      <c r="B549" s="2">
        <v>1536.76</v>
      </c>
      <c r="C549" s="2">
        <v>1532.93</v>
      </c>
      <c r="D549" s="2">
        <v>1537.6</v>
      </c>
      <c r="E549" s="2">
        <v>1532.93</v>
      </c>
      <c r="F549" s="1">
        <v>0</v>
      </c>
    </row>
    <row r="550" spans="1:6" x14ac:dyDescent="0.35">
      <c r="A550" s="2" t="s">
        <v>622</v>
      </c>
      <c r="B550" s="2">
        <v>767.43</v>
      </c>
      <c r="C550" s="2">
        <v>770.77</v>
      </c>
      <c r="D550" s="2">
        <v>776.5</v>
      </c>
      <c r="E550" s="2">
        <v>767.93</v>
      </c>
      <c r="F550" s="1">
        <v>-3.7000000000000002E-3</v>
      </c>
    </row>
    <row r="551" spans="1:6" x14ac:dyDescent="0.35">
      <c r="A551" s="2" t="s">
        <v>340</v>
      </c>
      <c r="B551" s="2">
        <v>1643.26</v>
      </c>
      <c r="C551" s="2">
        <v>1652.73</v>
      </c>
      <c r="D551" s="2">
        <v>1670.865</v>
      </c>
      <c r="E551" s="2">
        <v>1627.5</v>
      </c>
      <c r="F551" s="1">
        <v>5.1000000000000004E-3</v>
      </c>
    </row>
    <row r="552" spans="1:6" x14ac:dyDescent="0.35">
      <c r="A552" s="2" t="s">
        <v>79</v>
      </c>
      <c r="B552" s="2">
        <v>1465.04</v>
      </c>
      <c r="C552" s="2">
        <v>1466.38</v>
      </c>
      <c r="D552" s="2">
        <v>1470.925</v>
      </c>
      <c r="E552" s="2">
        <v>1463.04</v>
      </c>
      <c r="F552" s="1">
        <v>-5.0000000000000001E-4</v>
      </c>
    </row>
    <row r="553" spans="1:6" x14ac:dyDescent="0.35">
      <c r="A553" s="2" t="s">
        <v>579</v>
      </c>
      <c r="B553" s="2">
        <v>816.1</v>
      </c>
      <c r="C553" s="2">
        <v>820.18</v>
      </c>
      <c r="D553" s="2">
        <v>821.84</v>
      </c>
      <c r="E553" s="2">
        <v>816.6</v>
      </c>
      <c r="F553" s="1">
        <v>-4.4000000000000003E-3</v>
      </c>
    </row>
    <row r="554" spans="1:6" x14ac:dyDescent="0.35">
      <c r="A554" s="2" t="s">
        <v>317</v>
      </c>
      <c r="B554" s="2">
        <v>1681.36</v>
      </c>
      <c r="C554" s="2">
        <v>1681.07</v>
      </c>
      <c r="D554" s="2">
        <v>1693.36</v>
      </c>
      <c r="E554" s="2">
        <v>1672.835</v>
      </c>
      <c r="F554" s="1">
        <v>7.4000000000000003E-3</v>
      </c>
    </row>
    <row r="555" spans="1:6" x14ac:dyDescent="0.35">
      <c r="A555" s="2" t="s">
        <v>56</v>
      </c>
      <c r="B555" s="2">
        <v>1452.345</v>
      </c>
      <c r="C555" s="2">
        <v>1453.48</v>
      </c>
      <c r="D555" s="2">
        <v>1457.9549999999999</v>
      </c>
      <c r="E555" s="2">
        <v>1450.2449999999999</v>
      </c>
      <c r="F555" s="1">
        <v>-8.0000000000000004E-4</v>
      </c>
    </row>
    <row r="556" spans="1:6" x14ac:dyDescent="0.35">
      <c r="A556" s="2" t="s">
        <v>557</v>
      </c>
      <c r="B556" s="2">
        <v>902</v>
      </c>
      <c r="C556" s="2">
        <v>825</v>
      </c>
      <c r="D556" s="2">
        <v>903</v>
      </c>
      <c r="E556" s="2">
        <v>825</v>
      </c>
      <c r="F556" s="1">
        <v>9.4700000000000006E-2</v>
      </c>
    </row>
    <row r="557" spans="1:6" x14ac:dyDescent="0.35">
      <c r="A557" s="2" t="s">
        <v>535</v>
      </c>
      <c r="B557" s="2">
        <v>890.01</v>
      </c>
      <c r="C557" s="2">
        <v>891.04</v>
      </c>
      <c r="D557" s="2">
        <v>911</v>
      </c>
      <c r="E557" s="2">
        <v>891.005</v>
      </c>
      <c r="F557" s="1">
        <v>0</v>
      </c>
    </row>
    <row r="558" spans="1:6" x14ac:dyDescent="0.35">
      <c r="A558" s="2" t="s">
        <v>273</v>
      </c>
      <c r="B558" s="2">
        <v>1547</v>
      </c>
      <c r="C558" s="2">
        <v>1555</v>
      </c>
      <c r="D558" s="2">
        <v>1559.125</v>
      </c>
      <c r="E558" s="2">
        <v>1547</v>
      </c>
      <c r="F558" s="1">
        <v>1.2999999999999999E-3</v>
      </c>
    </row>
    <row r="559" spans="1:6" x14ac:dyDescent="0.35">
      <c r="A559" s="2" t="s">
        <v>12</v>
      </c>
      <c r="B559" s="2">
        <v>1421.57</v>
      </c>
      <c r="C559" s="2">
        <v>1420.2449999999999</v>
      </c>
      <c r="D559" s="2">
        <v>1423.62</v>
      </c>
      <c r="E559" s="2">
        <v>1418.66</v>
      </c>
      <c r="F559" s="1">
        <v>1E-3</v>
      </c>
    </row>
    <row r="560" spans="1:6" x14ac:dyDescent="0.35">
      <c r="A560" s="2" t="s">
        <v>773</v>
      </c>
      <c r="B560" s="2">
        <v>459.97</v>
      </c>
      <c r="C560" s="2">
        <v>460.47</v>
      </c>
      <c r="D560" s="2">
        <v>460.47</v>
      </c>
      <c r="E560" s="2">
        <v>460.45</v>
      </c>
      <c r="F560" s="1">
        <v>0</v>
      </c>
    </row>
    <row r="561" spans="1:6" x14ac:dyDescent="0.35">
      <c r="A561" s="2" t="s">
        <v>512</v>
      </c>
      <c r="B561" s="2">
        <v>1488.4</v>
      </c>
      <c r="C561" s="2">
        <v>1606.32</v>
      </c>
      <c r="D561" s="2">
        <v>1607.16</v>
      </c>
      <c r="E561" s="2">
        <v>1489.4</v>
      </c>
      <c r="F561" s="1">
        <v>-7.2599999999999998E-2</v>
      </c>
    </row>
    <row r="562" spans="1:6" x14ac:dyDescent="0.35">
      <c r="A562" s="2" t="s">
        <v>753</v>
      </c>
      <c r="B562" s="2">
        <v>459.95</v>
      </c>
      <c r="C562" s="2">
        <v>460.42</v>
      </c>
      <c r="D562" s="2">
        <v>460.45</v>
      </c>
      <c r="E562" s="2">
        <v>460.42</v>
      </c>
      <c r="F562" s="1">
        <v>1E-4</v>
      </c>
    </row>
    <row r="563" spans="1:6" x14ac:dyDescent="0.35">
      <c r="A563" s="2" t="s">
        <v>491</v>
      </c>
      <c r="B563" s="2">
        <v>1447.89</v>
      </c>
      <c r="C563" s="2">
        <v>1410.94</v>
      </c>
      <c r="D563" s="2">
        <v>1661</v>
      </c>
      <c r="E563" s="2">
        <v>1325.5</v>
      </c>
      <c r="F563" s="1">
        <v>2.69E-2</v>
      </c>
    </row>
    <row r="564" spans="1:6" x14ac:dyDescent="0.35">
      <c r="A564" s="2" t="s">
        <v>470</v>
      </c>
      <c r="B564" s="2">
        <v>1230</v>
      </c>
      <c r="C564" s="2">
        <v>1115</v>
      </c>
      <c r="D564" s="2">
        <v>1255.5</v>
      </c>
      <c r="E564" s="2">
        <v>1003</v>
      </c>
      <c r="F564" s="1">
        <v>0.22750000000000001</v>
      </c>
    </row>
    <row r="565" spans="1:6" x14ac:dyDescent="0.35">
      <c r="A565" s="2" t="s">
        <v>209</v>
      </c>
      <c r="B565" s="2">
        <v>1604.135</v>
      </c>
      <c r="C565" s="2">
        <v>1599.58</v>
      </c>
      <c r="D565" s="2">
        <v>1613.625</v>
      </c>
      <c r="E565" s="2">
        <v>1590.29</v>
      </c>
      <c r="F565" s="1">
        <v>2.0999999999999999E-3</v>
      </c>
    </row>
    <row r="566" spans="1:6" x14ac:dyDescent="0.35">
      <c r="A566" s="2" t="s">
        <v>710</v>
      </c>
      <c r="B566" s="2">
        <v>460.31</v>
      </c>
      <c r="C566" s="2">
        <v>460.84</v>
      </c>
      <c r="D566" s="2">
        <v>463.5</v>
      </c>
      <c r="E566" s="2">
        <v>460.81</v>
      </c>
      <c r="F566" s="1">
        <v>-1E-4</v>
      </c>
    </row>
    <row r="567" spans="1:6" x14ac:dyDescent="0.35">
      <c r="A567" s="2" t="s">
        <v>448</v>
      </c>
      <c r="B567" s="2">
        <v>1440</v>
      </c>
      <c r="C567" s="2">
        <v>1416</v>
      </c>
      <c r="D567" s="2">
        <v>1470</v>
      </c>
      <c r="E567" s="2">
        <v>1416</v>
      </c>
      <c r="F567" s="1">
        <v>1.77E-2</v>
      </c>
    </row>
    <row r="568" spans="1:6" x14ac:dyDescent="0.35">
      <c r="A568" s="2" t="s">
        <v>187</v>
      </c>
      <c r="B568" s="2">
        <v>1590.0150000000001</v>
      </c>
      <c r="C568" s="2">
        <v>1587.93</v>
      </c>
      <c r="D568" s="2">
        <v>1593.35</v>
      </c>
      <c r="E568" s="2">
        <v>1586.92</v>
      </c>
      <c r="F568" s="1">
        <v>1.4E-3</v>
      </c>
    </row>
    <row r="569" spans="1:6" x14ac:dyDescent="0.35">
      <c r="A569" s="2" t="s">
        <v>687</v>
      </c>
      <c r="B569" s="2">
        <v>745</v>
      </c>
      <c r="C569" s="2">
        <v>746.5</v>
      </c>
      <c r="D569" s="2">
        <v>752</v>
      </c>
      <c r="E569" s="2">
        <v>730.5</v>
      </c>
      <c r="F569" s="1">
        <v>0</v>
      </c>
    </row>
    <row r="570" spans="1:6" x14ac:dyDescent="0.35">
      <c r="A570" s="2" t="s">
        <v>405</v>
      </c>
      <c r="B570" s="2">
        <v>1625</v>
      </c>
      <c r="C570" s="2">
        <v>1585.8</v>
      </c>
      <c r="D570" s="2">
        <v>1625</v>
      </c>
      <c r="E570" s="2">
        <v>1562.5</v>
      </c>
      <c r="F570" s="1">
        <v>0</v>
      </c>
    </row>
    <row r="571" spans="1:6" x14ac:dyDescent="0.35">
      <c r="A571" s="2" t="s">
        <v>144</v>
      </c>
      <c r="B571" s="2">
        <v>1531.585</v>
      </c>
      <c r="C571" s="2">
        <v>1531.7850000000001</v>
      </c>
      <c r="D571" s="2">
        <v>1536.2049999999999</v>
      </c>
      <c r="E571" s="2">
        <v>1526.5250000000001</v>
      </c>
      <c r="F571" s="1">
        <v>1.1000000000000001E-3</v>
      </c>
    </row>
    <row r="572" spans="1:6" x14ac:dyDescent="0.35">
      <c r="A572" s="2" t="s">
        <v>644</v>
      </c>
      <c r="B572" s="2">
        <v>760.79</v>
      </c>
      <c r="C572" s="2">
        <v>745.14</v>
      </c>
      <c r="D572" s="2">
        <v>769.5</v>
      </c>
      <c r="E572" s="2">
        <v>745.14</v>
      </c>
      <c r="F572" s="1">
        <v>2.3099999999999999E-2</v>
      </c>
    </row>
    <row r="573" spans="1:6" x14ac:dyDescent="0.35">
      <c r="A573" s="2" t="s">
        <v>382</v>
      </c>
      <c r="B573" s="2">
        <v>1575</v>
      </c>
      <c r="C573" s="2">
        <v>1575</v>
      </c>
      <c r="D573" s="2">
        <v>1600</v>
      </c>
      <c r="E573" s="2">
        <v>1560.5150000000001</v>
      </c>
      <c r="F573" s="1">
        <v>0</v>
      </c>
    </row>
    <row r="574" spans="1:6" x14ac:dyDescent="0.35">
      <c r="A574" s="2" t="s">
        <v>121</v>
      </c>
      <c r="B574" s="2">
        <v>1535.55</v>
      </c>
      <c r="C574" s="2">
        <v>1536.77</v>
      </c>
      <c r="D574" s="2">
        <v>1539.625</v>
      </c>
      <c r="E574" s="2">
        <v>1533.2650000000001</v>
      </c>
      <c r="F574" s="1">
        <v>-8.0000000000000004E-4</v>
      </c>
    </row>
    <row r="575" spans="1:6" x14ac:dyDescent="0.35">
      <c r="A575" s="2" t="s">
        <v>621</v>
      </c>
      <c r="B575" s="2">
        <v>767.43</v>
      </c>
      <c r="C575" s="2">
        <v>767.93</v>
      </c>
      <c r="D575" s="2">
        <v>767.93</v>
      </c>
      <c r="E575" s="2">
        <v>767.93</v>
      </c>
      <c r="F575" s="1">
        <v>0</v>
      </c>
    </row>
    <row r="576" spans="1:6" x14ac:dyDescent="0.35">
      <c r="A576" s="2" t="s">
        <v>100</v>
      </c>
      <c r="B576" s="2">
        <v>1493.2750000000001</v>
      </c>
      <c r="C576" s="2">
        <v>1495.5</v>
      </c>
      <c r="D576" s="2">
        <v>1497.75</v>
      </c>
      <c r="E576" s="2">
        <v>1488.35</v>
      </c>
      <c r="F576" s="1">
        <v>2.9999999999999997E-4</v>
      </c>
    </row>
    <row r="577" spans="1:6" x14ac:dyDescent="0.35">
      <c r="A577" s="2" t="s">
        <v>339</v>
      </c>
      <c r="B577" s="2">
        <v>1643.26</v>
      </c>
      <c r="C577" s="2">
        <v>1643.26</v>
      </c>
      <c r="D577" s="2">
        <v>1659.9949999999999</v>
      </c>
      <c r="E577" s="2">
        <v>1629.67</v>
      </c>
      <c r="F577" s="1">
        <v>0</v>
      </c>
    </row>
    <row r="578" spans="1:6" x14ac:dyDescent="0.35">
      <c r="A578" s="2" t="s">
        <v>78</v>
      </c>
      <c r="B578" s="2">
        <v>1463.45</v>
      </c>
      <c r="C578" s="2">
        <v>1465.0450000000001</v>
      </c>
      <c r="D578" s="2">
        <v>1468.5</v>
      </c>
      <c r="E578" s="2">
        <v>1462.65</v>
      </c>
      <c r="F578" s="1">
        <v>-1.1000000000000001E-3</v>
      </c>
    </row>
    <row r="579" spans="1:6" x14ac:dyDescent="0.35">
      <c r="A579" s="2" t="s">
        <v>578</v>
      </c>
      <c r="B579" s="2">
        <v>803.89</v>
      </c>
      <c r="C579" s="2">
        <v>816.6</v>
      </c>
      <c r="D579" s="2">
        <v>816.6</v>
      </c>
      <c r="E579" s="2">
        <v>804.39</v>
      </c>
      <c r="F579" s="1">
        <v>-1.4999999999999999E-2</v>
      </c>
    </row>
    <row r="580" spans="1:6" x14ac:dyDescent="0.35">
      <c r="A580" s="2" t="s">
        <v>316</v>
      </c>
      <c r="B580" s="2">
        <v>1681.39</v>
      </c>
      <c r="C580" s="2">
        <v>1693.36</v>
      </c>
      <c r="D580" s="2">
        <v>1703.89</v>
      </c>
      <c r="E580" s="2">
        <v>1675.6</v>
      </c>
      <c r="F580" s="1">
        <v>0</v>
      </c>
    </row>
    <row r="581" spans="1:6" x14ac:dyDescent="0.35">
      <c r="A581" s="2" t="s">
        <v>556</v>
      </c>
      <c r="B581" s="2">
        <v>905.39</v>
      </c>
      <c r="C581" s="2">
        <v>903</v>
      </c>
      <c r="D581" s="2">
        <v>906.39</v>
      </c>
      <c r="E581" s="2">
        <v>903</v>
      </c>
      <c r="F581" s="1">
        <v>3.8E-3</v>
      </c>
    </row>
    <row r="582" spans="1:6" x14ac:dyDescent="0.35">
      <c r="A582" s="2" t="s">
        <v>35</v>
      </c>
      <c r="B582" s="2">
        <v>1457.62</v>
      </c>
      <c r="C582" s="2">
        <v>1459.5</v>
      </c>
      <c r="D582" s="2">
        <v>1463.7249999999999</v>
      </c>
      <c r="E582" s="2">
        <v>1456.57</v>
      </c>
      <c r="F582" s="1">
        <v>-2E-3</v>
      </c>
    </row>
    <row r="583" spans="1:6" x14ac:dyDescent="0.35">
      <c r="A583" s="2" t="s">
        <v>795</v>
      </c>
      <c r="B583" s="2">
        <v>454.56</v>
      </c>
      <c r="C583" s="2">
        <v>455.06</v>
      </c>
      <c r="D583" s="2">
        <v>460.5</v>
      </c>
      <c r="E583" s="2">
        <v>455.05</v>
      </c>
      <c r="F583" s="1">
        <v>0</v>
      </c>
    </row>
    <row r="584" spans="1:6" x14ac:dyDescent="0.35">
      <c r="A584" s="2" t="s">
        <v>534</v>
      </c>
      <c r="B584" s="2">
        <v>913.56</v>
      </c>
      <c r="C584" s="2">
        <v>891.01</v>
      </c>
      <c r="D584" s="2">
        <v>914.56</v>
      </c>
      <c r="E584" s="2">
        <v>849.5</v>
      </c>
      <c r="F584" s="1">
        <v>2.6499999999999999E-2</v>
      </c>
    </row>
    <row r="585" spans="1:6" x14ac:dyDescent="0.35">
      <c r="A585" s="2" t="s">
        <v>272</v>
      </c>
      <c r="B585" s="2">
        <v>1547</v>
      </c>
      <c r="C585" s="2">
        <v>1557</v>
      </c>
      <c r="D585" s="2">
        <v>1560.46</v>
      </c>
      <c r="E585" s="2">
        <v>1548.625</v>
      </c>
      <c r="F585" s="1">
        <v>0</v>
      </c>
    </row>
    <row r="586" spans="1:6" x14ac:dyDescent="0.35">
      <c r="A586" s="2" t="s">
        <v>11</v>
      </c>
      <c r="B586" s="2">
        <v>1420.7449999999999</v>
      </c>
      <c r="C586" s="2">
        <v>1419.76</v>
      </c>
      <c r="D586" s="2">
        <v>1423.77</v>
      </c>
      <c r="E586" s="2">
        <v>1418.2049999999999</v>
      </c>
      <c r="F586" s="1">
        <v>-5.9999999999999995E-4</v>
      </c>
    </row>
    <row r="587" spans="1:6" x14ac:dyDescent="0.35">
      <c r="A587" s="2" t="s">
        <v>772</v>
      </c>
      <c r="B587" s="2">
        <v>459.94</v>
      </c>
      <c r="C587" s="2">
        <v>460.47</v>
      </c>
      <c r="D587" s="2">
        <v>460.47</v>
      </c>
      <c r="E587" s="2">
        <v>460.44</v>
      </c>
      <c r="F587" s="1">
        <v>-1E-4</v>
      </c>
    </row>
    <row r="588" spans="1:6" x14ac:dyDescent="0.35">
      <c r="A588" s="2" t="s">
        <v>511</v>
      </c>
      <c r="B588" s="2">
        <v>1488.4</v>
      </c>
      <c r="C588" s="2">
        <v>1489.4</v>
      </c>
      <c r="D588" s="2">
        <v>1607</v>
      </c>
      <c r="E588" s="2">
        <v>1470.5</v>
      </c>
      <c r="F588" s="1">
        <v>0</v>
      </c>
    </row>
    <row r="589" spans="1:6" x14ac:dyDescent="0.35">
      <c r="A589" s="2" t="s">
        <v>752</v>
      </c>
      <c r="B589" s="2">
        <v>459.98</v>
      </c>
      <c r="C589" s="2">
        <v>460.45</v>
      </c>
      <c r="D589" s="2">
        <v>460.48</v>
      </c>
      <c r="E589" s="2">
        <v>460.45</v>
      </c>
      <c r="F589" s="1">
        <v>1E-4</v>
      </c>
    </row>
    <row r="590" spans="1:6" x14ac:dyDescent="0.35">
      <c r="A590" s="2" t="s">
        <v>469</v>
      </c>
      <c r="B590" s="2">
        <v>1230</v>
      </c>
      <c r="C590" s="2">
        <v>1275</v>
      </c>
      <c r="D590" s="2">
        <v>1310</v>
      </c>
      <c r="E590" s="2">
        <v>1216</v>
      </c>
      <c r="F590" s="1">
        <v>0</v>
      </c>
    </row>
    <row r="591" spans="1:6" x14ac:dyDescent="0.35">
      <c r="A591" s="2" t="s">
        <v>208</v>
      </c>
      <c r="B591" s="2">
        <v>1607.3</v>
      </c>
      <c r="C591" s="2">
        <v>1605.08</v>
      </c>
      <c r="D591" s="2">
        <v>1615.43</v>
      </c>
      <c r="E591" s="2">
        <v>1599.73</v>
      </c>
      <c r="F591" s="1">
        <v>2E-3</v>
      </c>
    </row>
    <row r="592" spans="1:6" x14ac:dyDescent="0.35">
      <c r="A592" s="2" t="s">
        <v>709</v>
      </c>
      <c r="B592" s="2">
        <v>460.28</v>
      </c>
      <c r="C592" s="2">
        <v>460.81</v>
      </c>
      <c r="D592" s="2">
        <v>460.81</v>
      </c>
      <c r="E592" s="2">
        <v>460.78</v>
      </c>
      <c r="F592" s="1">
        <v>-1E-4</v>
      </c>
    </row>
    <row r="593" spans="1:6" x14ac:dyDescent="0.35">
      <c r="A593" s="2" t="s">
        <v>447</v>
      </c>
      <c r="B593" s="2">
        <v>1467</v>
      </c>
      <c r="C593" s="2">
        <v>1440</v>
      </c>
      <c r="D593" s="2">
        <v>1488.5</v>
      </c>
      <c r="E593" s="2">
        <v>1415</v>
      </c>
      <c r="F593" s="1">
        <v>1.8800000000000001E-2</v>
      </c>
    </row>
    <row r="594" spans="1:6" x14ac:dyDescent="0.35">
      <c r="A594" s="2" t="s">
        <v>186</v>
      </c>
      <c r="B594" s="2">
        <v>1588.615</v>
      </c>
      <c r="C594" s="2">
        <v>1587.84</v>
      </c>
      <c r="D594" s="2">
        <v>1591.165</v>
      </c>
      <c r="E594" s="2">
        <v>1583.355</v>
      </c>
      <c r="F594" s="1">
        <v>-8.9999999999999998E-4</v>
      </c>
    </row>
    <row r="595" spans="1:6" x14ac:dyDescent="0.35">
      <c r="A595" s="2" t="s">
        <v>686</v>
      </c>
      <c r="B595" s="2">
        <v>760</v>
      </c>
      <c r="C595" s="2">
        <v>760</v>
      </c>
      <c r="D595" s="2">
        <v>765.5</v>
      </c>
      <c r="E595" s="2">
        <v>733.29</v>
      </c>
      <c r="F595" s="1">
        <v>2.01E-2</v>
      </c>
    </row>
    <row r="596" spans="1:6" x14ac:dyDescent="0.35">
      <c r="A596" s="2" t="s">
        <v>165</v>
      </c>
      <c r="B596" s="2">
        <v>1550.0150000000001</v>
      </c>
      <c r="C596" s="2">
        <v>1549.5</v>
      </c>
      <c r="D596" s="2">
        <v>1555.75</v>
      </c>
      <c r="E596" s="2">
        <v>1544.76</v>
      </c>
      <c r="F596" s="1">
        <v>8.9999999999999998E-4</v>
      </c>
    </row>
    <row r="597" spans="1:6" x14ac:dyDescent="0.35">
      <c r="A597" s="2" t="s">
        <v>404</v>
      </c>
      <c r="B597" s="2">
        <v>1625</v>
      </c>
      <c r="C597" s="2">
        <v>1625</v>
      </c>
      <c r="D597" s="2">
        <v>1625</v>
      </c>
      <c r="E597" s="2">
        <v>1510</v>
      </c>
      <c r="F597" s="1">
        <v>0</v>
      </c>
    </row>
    <row r="598" spans="1:6" x14ac:dyDescent="0.35">
      <c r="A598" s="2" t="s">
        <v>143</v>
      </c>
      <c r="B598" s="2">
        <v>1533.165</v>
      </c>
      <c r="C598" s="2">
        <v>1527.05</v>
      </c>
      <c r="D598" s="2">
        <v>1535.24</v>
      </c>
      <c r="E598" s="2">
        <v>1526.085</v>
      </c>
      <c r="F598" s="1">
        <v>1E-3</v>
      </c>
    </row>
    <row r="599" spans="1:6" x14ac:dyDescent="0.35">
      <c r="A599" s="2" t="s">
        <v>643</v>
      </c>
      <c r="B599" s="2">
        <v>755.27</v>
      </c>
      <c r="C599" s="2">
        <v>762.29</v>
      </c>
      <c r="D599" s="2">
        <v>762.29</v>
      </c>
      <c r="E599" s="2">
        <v>756.77</v>
      </c>
      <c r="F599" s="1">
        <v>-7.3000000000000001E-3</v>
      </c>
    </row>
    <row r="600" spans="1:6" x14ac:dyDescent="0.35">
      <c r="A600" s="2" t="s">
        <v>381</v>
      </c>
      <c r="B600" s="2">
        <v>1575</v>
      </c>
      <c r="C600" s="2">
        <v>1575</v>
      </c>
      <c r="D600" s="2">
        <v>1608.4849999999999</v>
      </c>
      <c r="E600" s="2">
        <v>1560.5150000000001</v>
      </c>
      <c r="F600" s="1">
        <v>0</v>
      </c>
    </row>
    <row r="601" spans="1:6" x14ac:dyDescent="0.35">
      <c r="A601" s="2" t="s">
        <v>360</v>
      </c>
      <c r="B601" s="2">
        <v>1639.2</v>
      </c>
      <c r="C601" s="2">
        <v>1639.2</v>
      </c>
      <c r="D601" s="2">
        <v>1660</v>
      </c>
      <c r="E601" s="2">
        <v>1547.5250000000001</v>
      </c>
      <c r="F601" s="1">
        <v>0</v>
      </c>
    </row>
    <row r="602" spans="1:6" x14ac:dyDescent="0.35">
      <c r="A602" s="2" t="s">
        <v>99</v>
      </c>
      <c r="B602" s="2">
        <v>1490.345</v>
      </c>
      <c r="C602" s="2">
        <v>1488.65</v>
      </c>
      <c r="D602" s="2">
        <v>1494.8050000000001</v>
      </c>
      <c r="E602" s="2">
        <v>1486.42</v>
      </c>
      <c r="F602" s="1">
        <v>-2E-3</v>
      </c>
    </row>
    <row r="603" spans="1:6" x14ac:dyDescent="0.35">
      <c r="A603" s="2" t="s">
        <v>600</v>
      </c>
      <c r="B603" s="2">
        <v>883</v>
      </c>
      <c r="C603" s="2">
        <v>859.73</v>
      </c>
      <c r="D603" s="2">
        <v>884.5</v>
      </c>
      <c r="E603" s="2">
        <v>859.11500000000001</v>
      </c>
      <c r="F603" s="1">
        <v>2.7699999999999999E-2</v>
      </c>
    </row>
    <row r="604" spans="1:6" x14ac:dyDescent="0.35">
      <c r="A604" s="2" t="s">
        <v>338</v>
      </c>
      <c r="B604" s="2">
        <v>1643.26</v>
      </c>
      <c r="C604" s="2">
        <v>1643.26</v>
      </c>
      <c r="D604" s="2">
        <v>1653.8</v>
      </c>
      <c r="E604" s="2">
        <v>1624.13</v>
      </c>
      <c r="F604" s="1">
        <v>0</v>
      </c>
    </row>
    <row r="605" spans="1:6" x14ac:dyDescent="0.35">
      <c r="A605" s="2" t="s">
        <v>77</v>
      </c>
      <c r="B605" s="2">
        <v>1463.87</v>
      </c>
      <c r="C605" s="2">
        <v>1463.69</v>
      </c>
      <c r="D605" s="2">
        <v>1466.5</v>
      </c>
      <c r="E605" s="2">
        <v>1458.605</v>
      </c>
      <c r="F605" s="1">
        <v>2.9999999999999997E-4</v>
      </c>
    </row>
    <row r="606" spans="1:6" x14ac:dyDescent="0.35">
      <c r="A606" s="2" t="s">
        <v>577</v>
      </c>
      <c r="B606" s="2">
        <v>803.89</v>
      </c>
      <c r="C606" s="2">
        <v>804.39</v>
      </c>
      <c r="D606" s="2">
        <v>804.39</v>
      </c>
      <c r="E606" s="2">
        <v>804.39</v>
      </c>
      <c r="F606" s="1">
        <v>0</v>
      </c>
    </row>
    <row r="607" spans="1:6" x14ac:dyDescent="0.35">
      <c r="A607" s="2" t="s">
        <v>295</v>
      </c>
      <c r="B607" s="2">
        <v>1538.07</v>
      </c>
      <c r="C607" s="2">
        <v>1537.43</v>
      </c>
      <c r="D607" s="2">
        <v>1560</v>
      </c>
      <c r="E607" s="2">
        <v>1531.4649999999999</v>
      </c>
      <c r="F607" s="1">
        <v>0</v>
      </c>
    </row>
    <row r="608" spans="1:6" x14ac:dyDescent="0.35">
      <c r="A608" s="2" t="s">
        <v>34</v>
      </c>
      <c r="B608" s="2">
        <v>1461.5050000000001</v>
      </c>
      <c r="C608" s="2">
        <v>1457.59</v>
      </c>
      <c r="D608" s="2">
        <v>1461.61</v>
      </c>
      <c r="E608" s="2">
        <v>1449</v>
      </c>
      <c r="F608" s="1">
        <v>2.7000000000000001E-3</v>
      </c>
    </row>
    <row r="609" spans="1:6" x14ac:dyDescent="0.35">
      <c r="A609" s="2" t="s">
        <v>794</v>
      </c>
      <c r="B609" s="2">
        <v>459.31</v>
      </c>
      <c r="C609" s="2">
        <v>455.06</v>
      </c>
      <c r="D609" s="2">
        <v>459.81</v>
      </c>
      <c r="E609" s="2">
        <v>455.06</v>
      </c>
      <c r="F609" s="1">
        <v>1.04E-2</v>
      </c>
    </row>
    <row r="610" spans="1:6" x14ac:dyDescent="0.35">
      <c r="A610" s="2" t="s">
        <v>533</v>
      </c>
      <c r="B610" s="2">
        <v>899.27</v>
      </c>
      <c r="C610" s="2">
        <v>914.56</v>
      </c>
      <c r="D610" s="2">
        <v>914.56</v>
      </c>
      <c r="E610" s="2">
        <v>870.5</v>
      </c>
      <c r="F610" s="1">
        <v>-1.5599999999999999E-2</v>
      </c>
    </row>
    <row r="611" spans="1:6" x14ac:dyDescent="0.35">
      <c r="A611" s="2" t="s">
        <v>271</v>
      </c>
      <c r="B611" s="2">
        <v>1548</v>
      </c>
      <c r="C611" s="2">
        <v>1557</v>
      </c>
      <c r="D611" s="2">
        <v>1559.46</v>
      </c>
      <c r="E611" s="2">
        <v>1505</v>
      </c>
      <c r="F611" s="1">
        <v>5.9999999999999995E-4</v>
      </c>
    </row>
    <row r="612" spans="1:6" x14ac:dyDescent="0.35">
      <c r="A612" s="2" t="s">
        <v>771</v>
      </c>
      <c r="B612" s="2">
        <v>459.94</v>
      </c>
      <c r="C612" s="2">
        <v>460.44</v>
      </c>
      <c r="D612" s="2">
        <v>460.44</v>
      </c>
      <c r="E612" s="2">
        <v>460.43</v>
      </c>
      <c r="F612" s="1">
        <v>0</v>
      </c>
    </row>
    <row r="613" spans="1:6" x14ac:dyDescent="0.35">
      <c r="A613" s="2" t="s">
        <v>250</v>
      </c>
      <c r="B613" s="2">
        <v>1499.73</v>
      </c>
      <c r="C613" s="2">
        <v>1500.52</v>
      </c>
      <c r="D613" s="2">
        <v>1511</v>
      </c>
      <c r="E613" s="2">
        <v>1494</v>
      </c>
      <c r="F613" s="1">
        <v>1E-4</v>
      </c>
    </row>
    <row r="614" spans="1:6" x14ac:dyDescent="0.35">
      <c r="A614" s="2" t="s">
        <v>751</v>
      </c>
      <c r="B614" s="2">
        <v>459.98</v>
      </c>
      <c r="C614" s="2">
        <v>460.48</v>
      </c>
      <c r="D614" s="2">
        <v>460.48</v>
      </c>
      <c r="E614" s="2">
        <v>460.47</v>
      </c>
      <c r="F614" s="1">
        <v>0</v>
      </c>
    </row>
    <row r="615" spans="1:6" x14ac:dyDescent="0.35">
      <c r="A615" s="2" t="s">
        <v>230</v>
      </c>
      <c r="B615" s="2">
        <v>1519</v>
      </c>
      <c r="C615" s="2">
        <v>1536</v>
      </c>
      <c r="D615" s="2">
        <v>1550</v>
      </c>
      <c r="E615" s="2">
        <v>1520</v>
      </c>
      <c r="F615" s="1">
        <v>-1.6799999999999999E-2</v>
      </c>
    </row>
    <row r="616" spans="1:6" x14ac:dyDescent="0.35">
      <c r="A616" s="2" t="s">
        <v>730</v>
      </c>
      <c r="B616" s="2">
        <v>460.03</v>
      </c>
      <c r="C616" s="2">
        <v>460.53</v>
      </c>
      <c r="D616" s="2">
        <v>460.53</v>
      </c>
      <c r="E616" s="2">
        <v>459.97</v>
      </c>
      <c r="F616" s="1">
        <v>0</v>
      </c>
    </row>
    <row r="617" spans="1:6" x14ac:dyDescent="0.35">
      <c r="A617" s="2" t="s">
        <v>468</v>
      </c>
      <c r="B617" s="2">
        <v>1251.05</v>
      </c>
      <c r="C617" s="2">
        <v>1231</v>
      </c>
      <c r="D617" s="2">
        <v>1345</v>
      </c>
      <c r="E617" s="2">
        <v>1231</v>
      </c>
      <c r="F617" s="1">
        <v>1.7100000000000001E-2</v>
      </c>
    </row>
    <row r="618" spans="1:6" x14ac:dyDescent="0.35">
      <c r="A618" s="2" t="s">
        <v>207</v>
      </c>
      <c r="B618" s="2">
        <v>1608.4349999999999</v>
      </c>
      <c r="C618" s="2">
        <v>1607.11</v>
      </c>
      <c r="D618" s="2">
        <v>1614.2249999999999</v>
      </c>
      <c r="E618" s="2">
        <v>1602.835</v>
      </c>
      <c r="F618" s="1">
        <v>6.9999999999999999E-4</v>
      </c>
    </row>
    <row r="619" spans="1:6" x14ac:dyDescent="0.35">
      <c r="A619" s="2" t="s">
        <v>708</v>
      </c>
      <c r="B619" s="2">
        <v>460.28</v>
      </c>
      <c r="C619" s="2">
        <v>460.78</v>
      </c>
      <c r="D619" s="2">
        <v>465.5</v>
      </c>
      <c r="E619" s="2">
        <v>460.5</v>
      </c>
      <c r="F619" s="1">
        <v>0</v>
      </c>
    </row>
    <row r="620" spans="1:6" x14ac:dyDescent="0.35">
      <c r="A620" s="2" t="s">
        <v>446</v>
      </c>
      <c r="B620" s="2">
        <v>1474</v>
      </c>
      <c r="C620" s="2">
        <v>1468</v>
      </c>
      <c r="D620" s="2">
        <v>1480</v>
      </c>
      <c r="E620" s="2">
        <v>1467</v>
      </c>
      <c r="F620" s="1">
        <v>4.7999999999999996E-3</v>
      </c>
    </row>
    <row r="621" spans="1:6" x14ac:dyDescent="0.35">
      <c r="A621" s="2" t="s">
        <v>425</v>
      </c>
      <c r="B621" s="2">
        <v>1515</v>
      </c>
      <c r="C621" s="2">
        <v>1515</v>
      </c>
      <c r="D621" s="2">
        <v>1516.15</v>
      </c>
      <c r="E621" s="2">
        <v>1470.7550000000001</v>
      </c>
      <c r="F621" s="1">
        <v>0</v>
      </c>
    </row>
    <row r="622" spans="1:6" x14ac:dyDescent="0.35">
      <c r="A622" s="2" t="s">
        <v>164</v>
      </c>
      <c r="B622" s="2">
        <v>1548.905</v>
      </c>
      <c r="C622" s="2">
        <v>1547.04</v>
      </c>
      <c r="D622" s="2">
        <v>1553.27</v>
      </c>
      <c r="E622" s="2">
        <v>1544.85</v>
      </c>
      <c r="F622" s="1">
        <v>-6.9999999999999999E-4</v>
      </c>
    </row>
    <row r="623" spans="1:6" x14ac:dyDescent="0.35">
      <c r="A623" s="2" t="s">
        <v>665</v>
      </c>
      <c r="B623" s="2">
        <v>791.82</v>
      </c>
      <c r="C623" s="2">
        <v>776</v>
      </c>
      <c r="D623" s="2">
        <v>793.41</v>
      </c>
      <c r="E623" s="2">
        <v>776</v>
      </c>
      <c r="F623" s="1">
        <v>2.24E-2</v>
      </c>
    </row>
    <row r="624" spans="1:6" x14ac:dyDescent="0.35">
      <c r="A624" s="2" t="s">
        <v>403</v>
      </c>
      <c r="B624" s="2">
        <v>1620</v>
      </c>
      <c r="C624" s="2">
        <v>1625</v>
      </c>
      <c r="D624" s="2">
        <v>1625</v>
      </c>
      <c r="E624" s="2">
        <v>1534.2750000000001</v>
      </c>
      <c r="F624" s="1">
        <v>-3.0999999999999999E-3</v>
      </c>
    </row>
    <row r="625" spans="1:6" x14ac:dyDescent="0.35">
      <c r="A625" s="2" t="s">
        <v>142</v>
      </c>
      <c r="B625" s="2">
        <v>1532.1949999999999</v>
      </c>
      <c r="C625" s="2">
        <v>1533.1949999999999</v>
      </c>
      <c r="D625" s="2">
        <v>1535.5550000000001</v>
      </c>
      <c r="E625" s="2">
        <v>1523</v>
      </c>
      <c r="F625" s="1">
        <v>-5.9999999999999995E-4</v>
      </c>
    </row>
    <row r="626" spans="1:6" x14ac:dyDescent="0.35">
      <c r="A626" s="2" t="s">
        <v>642</v>
      </c>
      <c r="B626" s="2">
        <v>754.21</v>
      </c>
      <c r="C626" s="2">
        <v>756.77</v>
      </c>
      <c r="D626" s="2">
        <v>773.5</v>
      </c>
      <c r="E626" s="2">
        <v>755.10500000000002</v>
      </c>
      <c r="F626" s="1">
        <v>-1.4E-3</v>
      </c>
    </row>
    <row r="627" spans="1:6" x14ac:dyDescent="0.35">
      <c r="A627" s="2" t="s">
        <v>359</v>
      </c>
      <c r="B627" s="2">
        <v>1596.98</v>
      </c>
      <c r="C627" s="2">
        <v>1639.2</v>
      </c>
      <c r="D627" s="2">
        <v>1639.2</v>
      </c>
      <c r="E627" s="2">
        <v>1594.07</v>
      </c>
      <c r="F627" s="1">
        <v>-2.58E-2</v>
      </c>
    </row>
    <row r="628" spans="1:6" x14ac:dyDescent="0.35">
      <c r="A628" s="2" t="s">
        <v>98</v>
      </c>
      <c r="B628" s="2">
        <v>1491.88</v>
      </c>
      <c r="C628" s="2">
        <v>1490.375</v>
      </c>
      <c r="D628" s="2">
        <v>1494.5350000000001</v>
      </c>
      <c r="E628" s="2">
        <v>1486.7550000000001</v>
      </c>
      <c r="F628" s="1">
        <v>1E-3</v>
      </c>
    </row>
    <row r="629" spans="1:6" x14ac:dyDescent="0.35">
      <c r="A629" s="2" t="s">
        <v>599</v>
      </c>
      <c r="B629" s="2">
        <v>794.93</v>
      </c>
      <c r="C629" s="2">
        <v>883.5</v>
      </c>
      <c r="D629" s="2">
        <v>883.5</v>
      </c>
      <c r="E629" s="2">
        <v>795.43</v>
      </c>
      <c r="F629" s="1">
        <v>-9.9699999999999997E-2</v>
      </c>
    </row>
    <row r="630" spans="1:6" x14ac:dyDescent="0.35">
      <c r="A630" s="2" t="s">
        <v>337</v>
      </c>
      <c r="B630" s="2">
        <v>1643.26</v>
      </c>
      <c r="C630" s="2">
        <v>1643.26</v>
      </c>
      <c r="D630" s="2">
        <v>1660.33</v>
      </c>
      <c r="E630" s="2">
        <v>1629.8</v>
      </c>
      <c r="F630" s="1">
        <v>0</v>
      </c>
    </row>
    <row r="631" spans="1:6" x14ac:dyDescent="0.35">
      <c r="A631" s="2" t="s">
        <v>76</v>
      </c>
      <c r="B631" s="2">
        <v>1460.4649999999999</v>
      </c>
      <c r="C631" s="2">
        <v>1463.86</v>
      </c>
      <c r="D631" s="2">
        <v>1464.415</v>
      </c>
      <c r="E631" s="2">
        <v>1457.9949999999999</v>
      </c>
      <c r="F631" s="1">
        <v>-2.3E-3</v>
      </c>
    </row>
    <row r="632" spans="1:6" x14ac:dyDescent="0.35">
      <c r="A632" s="2" t="s">
        <v>576</v>
      </c>
      <c r="B632" s="2">
        <v>804</v>
      </c>
      <c r="C632" s="2">
        <v>804.39</v>
      </c>
      <c r="D632" s="2">
        <v>806.5</v>
      </c>
      <c r="E632" s="2">
        <v>804.39</v>
      </c>
      <c r="F632" s="1">
        <v>1E-4</v>
      </c>
    </row>
    <row r="633" spans="1:6" x14ac:dyDescent="0.35">
      <c r="A633" s="2" t="s">
        <v>55</v>
      </c>
      <c r="B633" s="2">
        <v>1455.095</v>
      </c>
      <c r="C633" s="2">
        <v>1450.77</v>
      </c>
      <c r="D633" s="2">
        <v>1459.2950000000001</v>
      </c>
      <c r="E633" s="2">
        <v>1450.77</v>
      </c>
      <c r="F633" s="1">
        <v>1.9E-3</v>
      </c>
    </row>
    <row r="634" spans="1:6" x14ac:dyDescent="0.35">
      <c r="A634" s="2" t="s">
        <v>294</v>
      </c>
      <c r="B634" s="2">
        <v>1538.07</v>
      </c>
      <c r="C634" s="2">
        <v>1548.07</v>
      </c>
      <c r="D634" s="2">
        <v>1548.07</v>
      </c>
      <c r="E634" s="2">
        <v>1536.72</v>
      </c>
      <c r="F634" s="1">
        <v>0</v>
      </c>
    </row>
    <row r="635" spans="1:6" x14ac:dyDescent="0.35">
      <c r="A635" s="2" t="s">
        <v>33</v>
      </c>
      <c r="B635" s="2">
        <v>1450.13</v>
      </c>
      <c r="C635" s="2">
        <v>1459.9949999999999</v>
      </c>
      <c r="D635" s="2">
        <v>1460.39</v>
      </c>
      <c r="E635" s="2">
        <v>1445.905</v>
      </c>
      <c r="F635" s="1">
        <v>-7.7999999999999996E-3</v>
      </c>
    </row>
    <row r="636" spans="1:6" x14ac:dyDescent="0.35">
      <c r="A636" s="2" t="s">
        <v>793</v>
      </c>
      <c r="B636" s="2">
        <v>459.47</v>
      </c>
      <c r="C636" s="2">
        <v>459.81</v>
      </c>
      <c r="D636" s="2">
        <v>459.97</v>
      </c>
      <c r="E636" s="2">
        <v>459.8</v>
      </c>
      <c r="F636" s="1">
        <v>2.9999999999999997E-4</v>
      </c>
    </row>
    <row r="637" spans="1:6" x14ac:dyDescent="0.35">
      <c r="A637" s="2" t="s">
        <v>532</v>
      </c>
      <c r="B637" s="2">
        <v>886.39</v>
      </c>
      <c r="C637" s="2">
        <v>900.27</v>
      </c>
      <c r="D637" s="2">
        <v>900.98</v>
      </c>
      <c r="E637" s="2">
        <v>887.39</v>
      </c>
      <c r="F637" s="1">
        <v>-1.43E-2</v>
      </c>
    </row>
    <row r="638" spans="1:6" x14ac:dyDescent="0.35">
      <c r="A638" s="2" t="s">
        <v>249</v>
      </c>
      <c r="B638" s="2">
        <v>1496.11</v>
      </c>
      <c r="C638" s="2">
        <v>1500.73</v>
      </c>
      <c r="D638" s="2">
        <v>1507.365</v>
      </c>
      <c r="E638" s="2">
        <v>1494.0550000000001</v>
      </c>
      <c r="F638" s="1">
        <v>-2.3999999999999998E-3</v>
      </c>
    </row>
    <row r="639" spans="1:6" x14ac:dyDescent="0.35">
      <c r="A639" s="2" t="s">
        <v>490</v>
      </c>
      <c r="B639" s="2">
        <v>1447.89</v>
      </c>
      <c r="C639" s="2">
        <v>1448.89</v>
      </c>
      <c r="D639" s="2">
        <v>1661</v>
      </c>
      <c r="E639" s="2">
        <v>1375.5</v>
      </c>
      <c r="F639" s="1">
        <v>0</v>
      </c>
    </row>
    <row r="640" spans="1:6" x14ac:dyDescent="0.35">
      <c r="A640" s="2" t="s">
        <v>229</v>
      </c>
      <c r="B640" s="2">
        <v>1524</v>
      </c>
      <c r="C640" s="2">
        <v>1520</v>
      </c>
      <c r="D640" s="2">
        <v>1535.34</v>
      </c>
      <c r="E640" s="2">
        <v>1520</v>
      </c>
      <c r="F640" s="1">
        <v>3.3E-3</v>
      </c>
    </row>
    <row r="641" spans="1:6" x14ac:dyDescent="0.35">
      <c r="A641" s="2" t="s">
        <v>729</v>
      </c>
      <c r="B641" s="2">
        <v>460.03</v>
      </c>
      <c r="C641" s="2">
        <v>460.53</v>
      </c>
      <c r="D641" s="2">
        <v>460.53</v>
      </c>
      <c r="E641" s="2">
        <v>460.52</v>
      </c>
      <c r="F641" s="1">
        <v>0</v>
      </c>
    </row>
    <row r="642" spans="1:6" x14ac:dyDescent="0.35">
      <c r="A642" s="2" t="s">
        <v>467</v>
      </c>
      <c r="B642" s="2">
        <v>1277.03</v>
      </c>
      <c r="C642" s="2">
        <v>1350</v>
      </c>
      <c r="D642" s="2">
        <v>1400</v>
      </c>
      <c r="E642" s="2">
        <v>1278.0150000000001</v>
      </c>
      <c r="F642" s="1">
        <v>2.0799999999999999E-2</v>
      </c>
    </row>
    <row r="643" spans="1:6" x14ac:dyDescent="0.35">
      <c r="A643" s="2" t="s">
        <v>206</v>
      </c>
      <c r="B643" s="2">
        <v>1607.66</v>
      </c>
      <c r="C643" s="2">
        <v>1606.675</v>
      </c>
      <c r="D643" s="2">
        <v>1613.835</v>
      </c>
      <c r="E643" s="2">
        <v>1603.61</v>
      </c>
      <c r="F643" s="1">
        <v>-5.0000000000000001E-4</v>
      </c>
    </row>
    <row r="644" spans="1:6" x14ac:dyDescent="0.35">
      <c r="A644" s="2" t="s">
        <v>707</v>
      </c>
      <c r="B644" s="2">
        <v>460.31</v>
      </c>
      <c r="C644" s="2">
        <v>460.78</v>
      </c>
      <c r="D644" s="2">
        <v>464.5</v>
      </c>
      <c r="E644" s="2">
        <v>460.75</v>
      </c>
      <c r="F644" s="1">
        <v>1E-4</v>
      </c>
    </row>
    <row r="645" spans="1:6" x14ac:dyDescent="0.35">
      <c r="A645" s="2" t="s">
        <v>424</v>
      </c>
      <c r="B645" s="2">
        <v>1525</v>
      </c>
      <c r="C645" s="2">
        <v>1515</v>
      </c>
      <c r="D645" s="2">
        <v>1525</v>
      </c>
      <c r="E645" s="2">
        <v>1465</v>
      </c>
      <c r="F645" s="1">
        <v>6.6E-3</v>
      </c>
    </row>
    <row r="646" spans="1:6" x14ac:dyDescent="0.35">
      <c r="A646" s="2" t="s">
        <v>163</v>
      </c>
      <c r="B646" s="2">
        <v>1549.88</v>
      </c>
      <c r="C646" s="2">
        <v>1548.53</v>
      </c>
      <c r="D646" s="2">
        <v>1552.52</v>
      </c>
      <c r="E646" s="2">
        <v>1544.85</v>
      </c>
      <c r="F646" s="1">
        <v>5.9999999999999995E-4</v>
      </c>
    </row>
    <row r="647" spans="1:6" x14ac:dyDescent="0.35">
      <c r="A647" s="2" t="s">
        <v>664</v>
      </c>
      <c r="B647" s="2">
        <v>791.82</v>
      </c>
      <c r="C647" s="2">
        <v>793.32</v>
      </c>
      <c r="D647" s="2">
        <v>793.32</v>
      </c>
      <c r="E647" s="2">
        <v>780.5</v>
      </c>
      <c r="F647" s="1">
        <v>0</v>
      </c>
    </row>
    <row r="648" spans="1:6" x14ac:dyDescent="0.35">
      <c r="A648" s="2" t="s">
        <v>402</v>
      </c>
      <c r="B648" s="2">
        <v>1620</v>
      </c>
      <c r="C648" s="2">
        <v>1620</v>
      </c>
      <c r="D648" s="2">
        <v>1622.5</v>
      </c>
      <c r="E648" s="2">
        <v>1305</v>
      </c>
      <c r="F648" s="1">
        <v>0</v>
      </c>
    </row>
    <row r="649" spans="1:6" x14ac:dyDescent="0.35">
      <c r="A649" s="2" t="s">
        <v>141</v>
      </c>
      <c r="B649" s="2">
        <v>1532.655</v>
      </c>
      <c r="C649" s="2">
        <v>1532.96</v>
      </c>
      <c r="D649" s="2">
        <v>1534.385</v>
      </c>
      <c r="E649" s="2">
        <v>1527.5050000000001</v>
      </c>
      <c r="F649" s="1">
        <v>2.9999999999999997E-4</v>
      </c>
    </row>
    <row r="650" spans="1:6" x14ac:dyDescent="0.35">
      <c r="A650" s="2" t="s">
        <v>641</v>
      </c>
      <c r="B650" s="2">
        <v>770.84</v>
      </c>
      <c r="C650" s="2">
        <v>755.71</v>
      </c>
      <c r="D650" s="2">
        <v>774.5</v>
      </c>
      <c r="E650" s="2">
        <v>740.5</v>
      </c>
      <c r="F650" s="1">
        <v>2.1999999999999999E-2</v>
      </c>
    </row>
    <row r="651" spans="1:6" x14ac:dyDescent="0.35">
      <c r="A651" s="2" t="s">
        <v>120</v>
      </c>
      <c r="B651" s="2">
        <v>1536.56</v>
      </c>
      <c r="C651" s="2">
        <v>1535.04</v>
      </c>
      <c r="D651" s="2">
        <v>1537.75</v>
      </c>
      <c r="E651" s="2">
        <v>1519.46</v>
      </c>
      <c r="F651" s="1">
        <v>6.9999999999999999E-4</v>
      </c>
    </row>
    <row r="652" spans="1:6" x14ac:dyDescent="0.35">
      <c r="A652" s="2" t="s">
        <v>620</v>
      </c>
      <c r="B652" s="2">
        <v>779.05</v>
      </c>
      <c r="C652" s="2">
        <v>784.5</v>
      </c>
      <c r="D652" s="2">
        <v>784.5</v>
      </c>
      <c r="E652" s="2">
        <v>756.96</v>
      </c>
      <c r="F652" s="1">
        <v>1.5100000000000001E-2</v>
      </c>
    </row>
    <row r="653" spans="1:6" x14ac:dyDescent="0.35">
      <c r="A653" s="2" t="s">
        <v>358</v>
      </c>
      <c r="B653" s="2">
        <v>1653.27</v>
      </c>
      <c r="C653" s="2">
        <v>1597.98</v>
      </c>
      <c r="D653" s="2">
        <v>1674</v>
      </c>
      <c r="E653" s="2">
        <v>1597.98</v>
      </c>
      <c r="F653" s="1">
        <v>3.5200000000000002E-2</v>
      </c>
    </row>
    <row r="654" spans="1:6" x14ac:dyDescent="0.35">
      <c r="A654" s="2" t="s">
        <v>97</v>
      </c>
      <c r="B654" s="2">
        <v>1490.02</v>
      </c>
      <c r="C654" s="2">
        <v>1491.88</v>
      </c>
      <c r="D654" s="2">
        <v>1493.6</v>
      </c>
      <c r="E654" s="2">
        <v>1486.155</v>
      </c>
      <c r="F654" s="1">
        <v>-1.1999999999999999E-3</v>
      </c>
    </row>
    <row r="655" spans="1:6" x14ac:dyDescent="0.35">
      <c r="A655" s="2" t="s">
        <v>598</v>
      </c>
      <c r="B655" s="2">
        <v>794.93</v>
      </c>
      <c r="C655" s="2">
        <v>795.43</v>
      </c>
      <c r="D655" s="2">
        <v>795.46500000000003</v>
      </c>
      <c r="E655" s="2">
        <v>789.5</v>
      </c>
      <c r="F655" s="1">
        <v>0</v>
      </c>
    </row>
    <row r="656" spans="1:6" x14ac:dyDescent="0.35">
      <c r="A656" s="2" t="s">
        <v>336</v>
      </c>
      <c r="B656" s="2">
        <v>1643.26</v>
      </c>
      <c r="C656" s="2">
        <v>1643.26</v>
      </c>
      <c r="D656" s="2">
        <v>1677.83</v>
      </c>
      <c r="E656" s="2">
        <v>1627.4749999999999</v>
      </c>
      <c r="F656" s="1">
        <v>0</v>
      </c>
    </row>
    <row r="657" spans="1:6" x14ac:dyDescent="0.35">
      <c r="A657" s="2" t="s">
        <v>315</v>
      </c>
      <c r="B657" s="2">
        <v>1669.26</v>
      </c>
      <c r="C657" s="2">
        <v>1688.78</v>
      </c>
      <c r="D657" s="2">
        <v>1713.89</v>
      </c>
      <c r="E657" s="2">
        <v>1650</v>
      </c>
      <c r="F657" s="1">
        <v>-7.1999999999999998E-3</v>
      </c>
    </row>
    <row r="658" spans="1:6" x14ac:dyDescent="0.35">
      <c r="A658" s="2" t="s">
        <v>54</v>
      </c>
      <c r="B658" s="2">
        <v>1449.43</v>
      </c>
      <c r="C658" s="2">
        <v>1452.08</v>
      </c>
      <c r="D658" s="2">
        <v>1458.83</v>
      </c>
      <c r="E658" s="2">
        <v>1447.2850000000001</v>
      </c>
      <c r="F658" s="1">
        <v>-3.8999999999999998E-3</v>
      </c>
    </row>
    <row r="659" spans="1:6" x14ac:dyDescent="0.35">
      <c r="A659" s="2" t="s">
        <v>555</v>
      </c>
      <c r="B659" s="2">
        <v>905.39</v>
      </c>
      <c r="C659" s="2">
        <v>905.39</v>
      </c>
      <c r="D659" s="2">
        <v>905.39</v>
      </c>
      <c r="E659" s="2">
        <v>905.39</v>
      </c>
      <c r="F659" s="1">
        <v>0</v>
      </c>
    </row>
    <row r="660" spans="1:6" x14ac:dyDescent="0.35">
      <c r="A660" s="2" t="s">
        <v>293</v>
      </c>
      <c r="B660" s="2">
        <v>1535.72</v>
      </c>
      <c r="C660" s="2">
        <v>1535.72</v>
      </c>
      <c r="D660" s="2">
        <v>1535.72</v>
      </c>
      <c r="E660" s="2">
        <v>1535.72</v>
      </c>
      <c r="F660" s="1">
        <v>-1.5E-3</v>
      </c>
    </row>
    <row r="661" spans="1:6" x14ac:dyDescent="0.35">
      <c r="A661" s="2" t="s">
        <v>32</v>
      </c>
      <c r="B661" s="2">
        <v>1450.53</v>
      </c>
      <c r="C661" s="2">
        <v>1446.42</v>
      </c>
      <c r="D661" s="2">
        <v>1450.89</v>
      </c>
      <c r="E661" s="2">
        <v>1446.42</v>
      </c>
      <c r="F661" s="1">
        <v>2.9999999999999997E-4</v>
      </c>
    </row>
    <row r="662" spans="1:6" x14ac:dyDescent="0.35">
      <c r="A662" s="2" t="s">
        <v>792</v>
      </c>
      <c r="B662" s="2">
        <v>459.78</v>
      </c>
      <c r="C662" s="2">
        <v>459.97</v>
      </c>
      <c r="D662" s="2">
        <v>460.28</v>
      </c>
      <c r="E662" s="2">
        <v>459.97</v>
      </c>
      <c r="F662" s="1">
        <v>6.9999999999999999E-4</v>
      </c>
    </row>
    <row r="663" spans="1:6" x14ac:dyDescent="0.35">
      <c r="A663" s="2" t="s">
        <v>531</v>
      </c>
      <c r="B663" s="2">
        <v>898.2</v>
      </c>
      <c r="C663" s="2">
        <v>887.39</v>
      </c>
      <c r="D663" s="2">
        <v>901.5</v>
      </c>
      <c r="E663" s="2">
        <v>887.39</v>
      </c>
      <c r="F663" s="1">
        <v>1.3299999999999999E-2</v>
      </c>
    </row>
    <row r="664" spans="1:6" x14ac:dyDescent="0.35">
      <c r="A664" s="2" t="s">
        <v>10</v>
      </c>
      <c r="B664" s="2">
        <v>1416.875</v>
      </c>
      <c r="C664" s="2">
        <v>1421.4849999999999</v>
      </c>
      <c r="D664" s="2">
        <v>1422.95</v>
      </c>
      <c r="E664" s="2">
        <v>1408.5</v>
      </c>
      <c r="F664" s="1">
        <v>-2.7000000000000001E-3</v>
      </c>
    </row>
    <row r="665" spans="1:6" x14ac:dyDescent="0.35">
      <c r="A665" s="2" t="s">
        <v>510</v>
      </c>
      <c r="B665" s="2">
        <v>1505.85</v>
      </c>
      <c r="C665" s="2">
        <v>1489.4</v>
      </c>
      <c r="D665" s="2">
        <v>1560.5</v>
      </c>
      <c r="E665" s="2">
        <v>1489.4</v>
      </c>
      <c r="F665" s="1">
        <v>1.17E-2</v>
      </c>
    </row>
    <row r="666" spans="1:6" x14ac:dyDescent="0.35">
      <c r="A666" s="2" t="s">
        <v>248</v>
      </c>
      <c r="B666" s="2">
        <v>1494.91</v>
      </c>
      <c r="C666" s="2">
        <v>1497.11</v>
      </c>
      <c r="D666" s="2">
        <v>1500</v>
      </c>
      <c r="E666" s="2">
        <v>1495.91</v>
      </c>
      <c r="F666" s="1">
        <v>-8.0000000000000004E-4</v>
      </c>
    </row>
    <row r="667" spans="1:6" x14ac:dyDescent="0.35">
      <c r="A667" s="2" t="s">
        <v>489</v>
      </c>
      <c r="B667" s="2">
        <v>1404</v>
      </c>
      <c r="C667" s="2">
        <v>1448.89</v>
      </c>
      <c r="D667" s="2">
        <v>1577</v>
      </c>
      <c r="E667" s="2">
        <v>1275.5</v>
      </c>
      <c r="F667" s="1">
        <v>-3.0300000000000001E-2</v>
      </c>
    </row>
    <row r="668" spans="1:6" x14ac:dyDescent="0.35">
      <c r="A668" s="2" t="s">
        <v>228</v>
      </c>
      <c r="B668" s="2">
        <v>1532.71</v>
      </c>
      <c r="C668" s="2">
        <v>1530.5</v>
      </c>
      <c r="D668" s="2">
        <v>1538.9849999999999</v>
      </c>
      <c r="E668" s="2">
        <v>1523</v>
      </c>
      <c r="F668" s="1">
        <v>5.7000000000000002E-3</v>
      </c>
    </row>
    <row r="669" spans="1:6" x14ac:dyDescent="0.35">
      <c r="A669" s="2" t="s">
        <v>728</v>
      </c>
      <c r="B669" s="2">
        <v>459.97</v>
      </c>
      <c r="C669" s="2">
        <v>460.53</v>
      </c>
      <c r="D669" s="2">
        <v>460.53</v>
      </c>
      <c r="E669" s="2">
        <v>460.47</v>
      </c>
      <c r="F669" s="1">
        <v>-1E-4</v>
      </c>
    </row>
    <row r="670" spans="1:6" x14ac:dyDescent="0.35">
      <c r="A670" s="2" t="s">
        <v>466</v>
      </c>
      <c r="B670" s="2">
        <v>1329.44</v>
      </c>
      <c r="C670" s="2">
        <v>1278.03</v>
      </c>
      <c r="D670" s="2">
        <v>1385</v>
      </c>
      <c r="E670" s="2">
        <v>1278.03</v>
      </c>
      <c r="F670" s="1">
        <v>4.1000000000000002E-2</v>
      </c>
    </row>
    <row r="671" spans="1:6" x14ac:dyDescent="0.35">
      <c r="A671" s="2" t="s">
        <v>706</v>
      </c>
      <c r="B671" s="2">
        <v>460.3</v>
      </c>
      <c r="C671" s="2">
        <v>460.81</v>
      </c>
      <c r="D671" s="2">
        <v>460.81</v>
      </c>
      <c r="E671" s="2">
        <v>460.8</v>
      </c>
      <c r="F671" s="1">
        <v>0</v>
      </c>
    </row>
    <row r="672" spans="1:6" x14ac:dyDescent="0.35">
      <c r="A672" s="2" t="s">
        <v>185</v>
      </c>
      <c r="B672" s="2">
        <v>1583.345</v>
      </c>
      <c r="C672" s="2">
        <v>1586.5</v>
      </c>
      <c r="D672" s="2">
        <v>1587.6949999999999</v>
      </c>
      <c r="E672" s="2">
        <v>1579.865</v>
      </c>
      <c r="F672" s="1">
        <v>-3.3E-3</v>
      </c>
    </row>
    <row r="673" spans="1:6" x14ac:dyDescent="0.35">
      <c r="A673" s="2" t="s">
        <v>685</v>
      </c>
      <c r="B673" s="2">
        <v>742.25</v>
      </c>
      <c r="C673" s="2">
        <v>761.5</v>
      </c>
      <c r="D673" s="2">
        <v>770.5</v>
      </c>
      <c r="E673" s="2">
        <v>743.75</v>
      </c>
      <c r="F673" s="1">
        <v>-2.3400000000000001E-2</v>
      </c>
    </row>
    <row r="674" spans="1:6" x14ac:dyDescent="0.35">
      <c r="A674" s="2" t="s">
        <v>423</v>
      </c>
      <c r="B674" s="2">
        <v>1525</v>
      </c>
      <c r="C674" s="2">
        <v>1525</v>
      </c>
      <c r="D674" s="2">
        <v>1526.68</v>
      </c>
      <c r="E674" s="2">
        <v>1485</v>
      </c>
      <c r="F674" s="1">
        <v>0</v>
      </c>
    </row>
    <row r="675" spans="1:6" x14ac:dyDescent="0.35">
      <c r="A675" s="2" t="s">
        <v>162</v>
      </c>
      <c r="B675" s="2">
        <v>1542.665</v>
      </c>
      <c r="C675" s="2">
        <v>1549.865</v>
      </c>
      <c r="D675" s="2">
        <v>1552.33</v>
      </c>
      <c r="E675" s="2">
        <v>1539.46</v>
      </c>
      <c r="F675" s="1">
        <v>-4.7000000000000002E-3</v>
      </c>
    </row>
    <row r="676" spans="1:6" x14ac:dyDescent="0.35">
      <c r="A676" s="2" t="s">
        <v>663</v>
      </c>
      <c r="B676" s="2">
        <v>787.92</v>
      </c>
      <c r="C676" s="2">
        <v>793.32</v>
      </c>
      <c r="D676" s="2">
        <v>793.32</v>
      </c>
      <c r="E676" s="2">
        <v>789.42</v>
      </c>
      <c r="F676" s="1">
        <v>-4.8999999999999998E-3</v>
      </c>
    </row>
    <row r="677" spans="1:6" x14ac:dyDescent="0.35">
      <c r="A677" s="2" t="s">
        <v>401</v>
      </c>
      <c r="B677" s="2">
        <v>1620</v>
      </c>
      <c r="C677" s="2">
        <v>1620</v>
      </c>
      <c r="D677" s="2">
        <v>1629.4449999999999</v>
      </c>
      <c r="E677" s="2">
        <v>1542.09</v>
      </c>
      <c r="F677" s="1">
        <v>0</v>
      </c>
    </row>
    <row r="678" spans="1:6" x14ac:dyDescent="0.35">
      <c r="A678" s="2" t="s">
        <v>380</v>
      </c>
      <c r="B678" s="2">
        <v>1590</v>
      </c>
      <c r="C678" s="2">
        <v>1592.97</v>
      </c>
      <c r="D678" s="2">
        <v>1603.4849999999999</v>
      </c>
      <c r="E678" s="2">
        <v>1569.07</v>
      </c>
      <c r="F678" s="1">
        <v>9.4999999999999998E-3</v>
      </c>
    </row>
    <row r="679" spans="1:6" x14ac:dyDescent="0.35">
      <c r="A679" s="2" t="s">
        <v>119</v>
      </c>
      <c r="B679" s="2">
        <v>1536.96</v>
      </c>
      <c r="C679" s="2">
        <v>1536.68</v>
      </c>
      <c r="D679" s="2">
        <v>1537.94</v>
      </c>
      <c r="E679" s="2">
        <v>1530.38</v>
      </c>
      <c r="F679" s="1">
        <v>2.9999999999999997E-4</v>
      </c>
    </row>
    <row r="680" spans="1:6" x14ac:dyDescent="0.35">
      <c r="A680" s="2" t="s">
        <v>619</v>
      </c>
      <c r="B680" s="2">
        <v>779.05</v>
      </c>
      <c r="C680" s="2">
        <v>779.55</v>
      </c>
      <c r="D680" s="2">
        <v>781.52499999999998</v>
      </c>
      <c r="E680" s="2">
        <v>779.52499999999998</v>
      </c>
      <c r="F680" s="1">
        <v>0</v>
      </c>
    </row>
    <row r="681" spans="1:6" x14ac:dyDescent="0.35">
      <c r="A681" s="2" t="s">
        <v>357</v>
      </c>
      <c r="B681" s="2">
        <v>1653.27</v>
      </c>
      <c r="C681" s="2">
        <v>1653.27</v>
      </c>
      <c r="D681" s="2">
        <v>1680</v>
      </c>
      <c r="E681" s="2">
        <v>1597.98</v>
      </c>
      <c r="F681" s="1">
        <v>0</v>
      </c>
    </row>
    <row r="682" spans="1:6" x14ac:dyDescent="0.35">
      <c r="A682" s="2" t="s">
        <v>96</v>
      </c>
      <c r="B682" s="2">
        <v>1486.22</v>
      </c>
      <c r="C682" s="2">
        <v>1490.0150000000001</v>
      </c>
      <c r="D682" s="2">
        <v>1503.75</v>
      </c>
      <c r="E682" s="2">
        <v>1483.04</v>
      </c>
      <c r="F682" s="1">
        <v>-2.5999999999999999E-3</v>
      </c>
    </row>
    <row r="683" spans="1:6" x14ac:dyDescent="0.35">
      <c r="A683" s="2" t="s">
        <v>597</v>
      </c>
      <c r="B683" s="2">
        <v>802.2</v>
      </c>
      <c r="C683" s="2">
        <v>795.43</v>
      </c>
      <c r="D683" s="2">
        <v>802.7</v>
      </c>
      <c r="E683" s="2">
        <v>788.5</v>
      </c>
      <c r="F683" s="1">
        <v>9.1000000000000004E-3</v>
      </c>
    </row>
    <row r="684" spans="1:6" x14ac:dyDescent="0.35">
      <c r="A684" s="2" t="s">
        <v>314</v>
      </c>
      <c r="B684" s="2">
        <v>1677.53</v>
      </c>
      <c r="C684" s="2">
        <v>1681.26</v>
      </c>
      <c r="D684" s="2">
        <v>1705</v>
      </c>
      <c r="E684" s="2">
        <v>1665.99</v>
      </c>
      <c r="F684" s="1">
        <v>5.0000000000000001E-3</v>
      </c>
    </row>
    <row r="685" spans="1:6" x14ac:dyDescent="0.35">
      <c r="A685" s="2" t="s">
        <v>53</v>
      </c>
      <c r="B685" s="2">
        <v>1446.89</v>
      </c>
      <c r="C685" s="2">
        <v>1449.365</v>
      </c>
      <c r="D685" s="2">
        <v>1449.5650000000001</v>
      </c>
      <c r="E685" s="2">
        <v>1440.75</v>
      </c>
      <c r="F685" s="1">
        <v>-1.8E-3</v>
      </c>
    </row>
    <row r="686" spans="1:6" x14ac:dyDescent="0.35">
      <c r="A686" s="2" t="s">
        <v>554</v>
      </c>
      <c r="B686" s="2">
        <v>904.1</v>
      </c>
      <c r="C686" s="2">
        <v>904.1</v>
      </c>
      <c r="D686" s="2">
        <v>906.05</v>
      </c>
      <c r="E686" s="2">
        <v>904.05</v>
      </c>
      <c r="F686" s="1">
        <v>-1.4E-3</v>
      </c>
    </row>
    <row r="687" spans="1:6" x14ac:dyDescent="0.35">
      <c r="A687" s="2" t="s">
        <v>292</v>
      </c>
      <c r="B687" s="2">
        <v>1537.57</v>
      </c>
      <c r="C687" s="2">
        <v>1538.57</v>
      </c>
      <c r="D687" s="2">
        <v>1538.57</v>
      </c>
      <c r="E687" s="2">
        <v>1538.57</v>
      </c>
      <c r="F687" s="1">
        <v>1.1999999999999999E-3</v>
      </c>
    </row>
    <row r="688" spans="1:6" x14ac:dyDescent="0.35">
      <c r="A688" s="2" t="s">
        <v>31</v>
      </c>
      <c r="B688" s="2">
        <v>1451.62</v>
      </c>
      <c r="C688" s="2">
        <v>1446.42</v>
      </c>
      <c r="D688" s="2">
        <v>1452.395</v>
      </c>
      <c r="E688" s="2">
        <v>1446.42</v>
      </c>
      <c r="F688" s="1">
        <v>8.0000000000000004E-4</v>
      </c>
    </row>
    <row r="689" spans="1:6" x14ac:dyDescent="0.35">
      <c r="A689" s="2" t="s">
        <v>791</v>
      </c>
      <c r="B689" s="2">
        <v>459.78</v>
      </c>
      <c r="C689" s="2">
        <v>460.28</v>
      </c>
      <c r="D689" s="2">
        <v>460.3</v>
      </c>
      <c r="E689" s="2">
        <v>460.28</v>
      </c>
      <c r="F689" s="1">
        <v>0</v>
      </c>
    </row>
    <row r="690" spans="1:6" x14ac:dyDescent="0.35">
      <c r="A690" s="2" t="s">
        <v>270</v>
      </c>
      <c r="B690" s="2">
        <v>1549.48</v>
      </c>
      <c r="C690" s="2">
        <v>1550.48</v>
      </c>
      <c r="D690" s="2">
        <v>1557.5</v>
      </c>
      <c r="E690" s="2">
        <v>1529</v>
      </c>
      <c r="F690" s="1">
        <v>1E-3</v>
      </c>
    </row>
    <row r="691" spans="1:6" x14ac:dyDescent="0.35">
      <c r="A691" s="2" t="s">
        <v>9</v>
      </c>
      <c r="B691" s="2">
        <v>1407.76</v>
      </c>
      <c r="C691" s="2">
        <v>1416.915</v>
      </c>
      <c r="D691" s="2">
        <v>1418.855</v>
      </c>
      <c r="E691" s="2">
        <v>1405.4949999999999</v>
      </c>
      <c r="F691" s="1">
        <v>-6.4000000000000003E-3</v>
      </c>
    </row>
    <row r="692" spans="1:6" x14ac:dyDescent="0.35">
      <c r="A692" s="2" t="s">
        <v>770</v>
      </c>
      <c r="B692" s="2">
        <v>459.95</v>
      </c>
      <c r="C692" s="2">
        <v>460.44</v>
      </c>
      <c r="D692" s="2">
        <v>460.45</v>
      </c>
      <c r="E692" s="2">
        <v>460.43</v>
      </c>
      <c r="F692" s="1">
        <v>0</v>
      </c>
    </row>
    <row r="693" spans="1:6" x14ac:dyDescent="0.35">
      <c r="A693" s="2" t="s">
        <v>509</v>
      </c>
      <c r="B693" s="2">
        <v>1578.08</v>
      </c>
      <c r="C693" s="2">
        <v>1506.85</v>
      </c>
      <c r="D693" s="2">
        <v>1662.85</v>
      </c>
      <c r="E693" s="2">
        <v>1506.425</v>
      </c>
      <c r="F693" s="1">
        <v>4.8000000000000001E-2</v>
      </c>
    </row>
    <row r="694" spans="1:6" x14ac:dyDescent="0.35">
      <c r="A694" s="2" t="s">
        <v>247</v>
      </c>
      <c r="B694" s="2">
        <v>1498</v>
      </c>
      <c r="C694" s="2">
        <v>1495.91</v>
      </c>
      <c r="D694" s="2">
        <v>1499.5550000000001</v>
      </c>
      <c r="E694" s="2">
        <v>1495.91</v>
      </c>
      <c r="F694" s="1">
        <v>2.0999999999999999E-3</v>
      </c>
    </row>
    <row r="695" spans="1:6" x14ac:dyDescent="0.35">
      <c r="A695" s="2" t="s">
        <v>750</v>
      </c>
      <c r="B695" s="2">
        <v>459.9</v>
      </c>
      <c r="C695" s="2">
        <v>460.48</v>
      </c>
      <c r="D695" s="2">
        <v>460.5</v>
      </c>
      <c r="E695" s="2">
        <v>460.4</v>
      </c>
      <c r="F695" s="1">
        <v>-2.0000000000000001E-4</v>
      </c>
    </row>
    <row r="696" spans="1:6" x14ac:dyDescent="0.35">
      <c r="A696" s="2" t="s">
        <v>488</v>
      </c>
      <c r="B696" s="2">
        <v>1415.13</v>
      </c>
      <c r="C696" s="2">
        <v>1405.97</v>
      </c>
      <c r="D696" s="2">
        <v>1550.5</v>
      </c>
      <c r="E696" s="2">
        <v>1285.5</v>
      </c>
      <c r="F696" s="1">
        <v>7.9000000000000008E-3</v>
      </c>
    </row>
    <row r="697" spans="1:6" x14ac:dyDescent="0.35">
      <c r="A697" s="2" t="s">
        <v>227</v>
      </c>
      <c r="B697" s="2">
        <v>1533.64</v>
      </c>
      <c r="C697" s="2">
        <v>1532.5</v>
      </c>
      <c r="D697" s="2">
        <v>1541.4649999999999</v>
      </c>
      <c r="E697" s="2">
        <v>1529.25</v>
      </c>
      <c r="F697" s="1">
        <v>5.9999999999999995E-4</v>
      </c>
    </row>
    <row r="698" spans="1:6" x14ac:dyDescent="0.35">
      <c r="A698" s="2" t="s">
        <v>727</v>
      </c>
      <c r="B698" s="2">
        <v>459.97</v>
      </c>
      <c r="C698" s="2">
        <v>460.47</v>
      </c>
      <c r="D698" s="2">
        <v>460.5</v>
      </c>
      <c r="E698" s="2">
        <v>460.45</v>
      </c>
      <c r="F698" s="1">
        <v>0</v>
      </c>
    </row>
    <row r="699" spans="1:6" x14ac:dyDescent="0.35">
      <c r="A699" s="2" t="s">
        <v>445</v>
      </c>
      <c r="B699" s="2">
        <v>1474</v>
      </c>
      <c r="C699" s="2">
        <v>1475</v>
      </c>
      <c r="D699" s="2">
        <v>1507.5</v>
      </c>
      <c r="E699" s="2">
        <v>1468</v>
      </c>
      <c r="F699" s="1">
        <v>0</v>
      </c>
    </row>
    <row r="700" spans="1:6" x14ac:dyDescent="0.35">
      <c r="A700" s="2" t="s">
        <v>184</v>
      </c>
      <c r="B700" s="2">
        <v>1586.44</v>
      </c>
      <c r="C700" s="2">
        <v>1583.345</v>
      </c>
      <c r="D700" s="2">
        <v>1590</v>
      </c>
      <c r="E700" s="2">
        <v>1581.63</v>
      </c>
      <c r="F700" s="1">
        <v>2E-3</v>
      </c>
    </row>
    <row r="701" spans="1:6" x14ac:dyDescent="0.35">
      <c r="A701" s="2" t="s">
        <v>684</v>
      </c>
      <c r="B701" s="2">
        <v>763.05</v>
      </c>
      <c r="C701" s="2">
        <v>743.75</v>
      </c>
      <c r="D701" s="2">
        <v>765.52499999999998</v>
      </c>
      <c r="E701" s="2">
        <v>743.75</v>
      </c>
      <c r="F701" s="1">
        <v>2.8000000000000001E-2</v>
      </c>
    </row>
    <row r="702" spans="1:6" x14ac:dyDescent="0.35">
      <c r="A702" s="2" t="s">
        <v>422</v>
      </c>
      <c r="B702" s="2">
        <v>1525</v>
      </c>
      <c r="C702" s="2">
        <v>1525</v>
      </c>
      <c r="D702" s="2">
        <v>1535</v>
      </c>
      <c r="E702" s="2">
        <v>1478.5</v>
      </c>
      <c r="F702" s="1">
        <v>0</v>
      </c>
    </row>
    <row r="703" spans="1:6" x14ac:dyDescent="0.35">
      <c r="A703" s="2" t="s">
        <v>161</v>
      </c>
      <c r="B703" s="2">
        <v>1542.47</v>
      </c>
      <c r="C703" s="2">
        <v>1542.67</v>
      </c>
      <c r="D703" s="2">
        <v>1550.5</v>
      </c>
      <c r="E703" s="2">
        <v>1537.7449999999999</v>
      </c>
      <c r="F703" s="1">
        <v>-1E-4</v>
      </c>
    </row>
    <row r="704" spans="1:6" x14ac:dyDescent="0.35">
      <c r="A704" s="2" t="s">
        <v>662</v>
      </c>
      <c r="B704" s="2">
        <v>774</v>
      </c>
      <c r="C704" s="2">
        <v>789.42</v>
      </c>
      <c r="D704" s="2">
        <v>790</v>
      </c>
      <c r="E704" s="2">
        <v>764.5</v>
      </c>
      <c r="F704" s="1">
        <v>-1.77E-2</v>
      </c>
    </row>
    <row r="705" spans="1:6" x14ac:dyDescent="0.35">
      <c r="A705" s="2" t="s">
        <v>379</v>
      </c>
      <c r="B705" s="2">
        <v>1590</v>
      </c>
      <c r="C705" s="2">
        <v>1590</v>
      </c>
      <c r="D705" s="2">
        <v>1610</v>
      </c>
      <c r="E705" s="2">
        <v>1576.57</v>
      </c>
      <c r="F705" s="1">
        <v>0</v>
      </c>
    </row>
    <row r="706" spans="1:6" x14ac:dyDescent="0.35">
      <c r="A706" s="2" t="s">
        <v>118</v>
      </c>
      <c r="B706" s="2">
        <v>1536.2650000000001</v>
      </c>
      <c r="C706" s="2">
        <v>1537</v>
      </c>
      <c r="D706" s="2">
        <v>1538.3150000000001</v>
      </c>
      <c r="E706" s="2">
        <v>1533.155</v>
      </c>
      <c r="F706" s="1">
        <v>-5.0000000000000001E-4</v>
      </c>
    </row>
    <row r="707" spans="1:6" x14ac:dyDescent="0.35">
      <c r="A707" s="2" t="s">
        <v>618</v>
      </c>
      <c r="B707" s="2">
        <v>777.6</v>
      </c>
      <c r="C707" s="2">
        <v>779.55</v>
      </c>
      <c r="D707" s="2">
        <v>781.52499999999998</v>
      </c>
      <c r="E707" s="2">
        <v>777.8</v>
      </c>
      <c r="F707" s="1">
        <v>-1.9E-3</v>
      </c>
    </row>
    <row r="708" spans="1:6" x14ac:dyDescent="0.35">
      <c r="A708" s="2" t="s">
        <v>356</v>
      </c>
      <c r="B708" s="2">
        <v>1668.97</v>
      </c>
      <c r="C708" s="2">
        <v>1653.27</v>
      </c>
      <c r="D708" s="2">
        <v>1680.095</v>
      </c>
      <c r="E708" s="2">
        <v>1631.635</v>
      </c>
      <c r="F708" s="1">
        <v>9.4999999999999998E-3</v>
      </c>
    </row>
    <row r="709" spans="1:6" x14ac:dyDescent="0.35">
      <c r="A709" s="2" t="s">
        <v>596</v>
      </c>
      <c r="B709" s="2">
        <v>790</v>
      </c>
      <c r="C709" s="2">
        <v>802.7</v>
      </c>
      <c r="D709" s="2">
        <v>802.7</v>
      </c>
      <c r="E709" s="2">
        <v>789.5</v>
      </c>
      <c r="F709" s="1">
        <v>-1.52E-2</v>
      </c>
    </row>
    <row r="710" spans="1:6" x14ac:dyDescent="0.35">
      <c r="A710" s="2" t="s">
        <v>75</v>
      </c>
      <c r="B710" s="2">
        <v>1458.2449999999999</v>
      </c>
      <c r="C710" s="2">
        <v>1459.78</v>
      </c>
      <c r="D710" s="2">
        <v>1464.94</v>
      </c>
      <c r="E710" s="2">
        <v>1454.905</v>
      </c>
      <c r="F710" s="1">
        <v>-1.5E-3</v>
      </c>
    </row>
    <row r="711" spans="1:6" x14ac:dyDescent="0.35">
      <c r="A711" s="2" t="s">
        <v>575</v>
      </c>
      <c r="B711" s="2">
        <v>799</v>
      </c>
      <c r="C711" s="2">
        <v>789.5</v>
      </c>
      <c r="D711" s="2">
        <v>806.5</v>
      </c>
      <c r="E711" s="2">
        <v>789.5</v>
      </c>
      <c r="F711" s="1">
        <v>-6.1999999999999998E-3</v>
      </c>
    </row>
    <row r="712" spans="1:6" x14ac:dyDescent="0.35">
      <c r="A712" s="2" t="s">
        <v>313</v>
      </c>
      <c r="B712" s="2">
        <v>1677.66</v>
      </c>
      <c r="C712" s="2">
        <v>1689.53</v>
      </c>
      <c r="D712" s="2">
        <v>1698.61</v>
      </c>
      <c r="E712" s="2">
        <v>1679.125</v>
      </c>
      <c r="F712" s="1">
        <v>1E-4</v>
      </c>
    </row>
    <row r="713" spans="1:6" x14ac:dyDescent="0.35">
      <c r="A713" s="2" t="s">
        <v>52</v>
      </c>
      <c r="B713" s="2">
        <v>1446.3150000000001</v>
      </c>
      <c r="C713" s="2">
        <v>1446.91</v>
      </c>
      <c r="D713" s="2">
        <v>1447.905</v>
      </c>
      <c r="E713" s="2">
        <v>1440.24</v>
      </c>
      <c r="F713" s="1">
        <v>-4.0000000000000002E-4</v>
      </c>
    </row>
    <row r="714" spans="1:6" x14ac:dyDescent="0.35">
      <c r="A714" s="2" t="s">
        <v>553</v>
      </c>
      <c r="B714" s="2">
        <v>884</v>
      </c>
      <c r="C714" s="2">
        <v>905.1</v>
      </c>
      <c r="D714" s="2">
        <v>906.05</v>
      </c>
      <c r="E714" s="2">
        <v>884.5</v>
      </c>
      <c r="F714" s="1">
        <v>-2.2200000000000001E-2</v>
      </c>
    </row>
    <row r="715" spans="1:6" x14ac:dyDescent="0.35">
      <c r="A715" s="2" t="s">
        <v>291</v>
      </c>
      <c r="B715" s="2">
        <v>1539</v>
      </c>
      <c r="C715" s="2">
        <v>1538.57</v>
      </c>
      <c r="D715" s="2">
        <v>1559.5</v>
      </c>
      <c r="E715" s="2">
        <v>1532.2850000000001</v>
      </c>
      <c r="F715" s="1">
        <v>8.9999999999999998E-4</v>
      </c>
    </row>
    <row r="716" spans="1:6" x14ac:dyDescent="0.35">
      <c r="A716" s="2" t="s">
        <v>269</v>
      </c>
      <c r="B716" s="2">
        <v>1549.48</v>
      </c>
      <c r="C716" s="2">
        <v>1550.48</v>
      </c>
      <c r="D716" s="2">
        <v>1555</v>
      </c>
      <c r="E716" s="2">
        <v>1513.1</v>
      </c>
      <c r="F716" s="1">
        <v>0</v>
      </c>
    </row>
    <row r="717" spans="1:6" x14ac:dyDescent="0.35">
      <c r="A717" s="2" t="s">
        <v>8</v>
      </c>
      <c r="B717" s="2">
        <v>1394.77</v>
      </c>
      <c r="C717" s="2">
        <v>1407.67</v>
      </c>
      <c r="D717" s="2">
        <v>1409.865</v>
      </c>
      <c r="E717" s="2">
        <v>1392.4949999999999</v>
      </c>
      <c r="F717" s="1">
        <v>-9.1999999999999998E-3</v>
      </c>
    </row>
    <row r="718" spans="1:6" x14ac:dyDescent="0.35">
      <c r="A718" s="2" t="s">
        <v>769</v>
      </c>
      <c r="B718" s="2">
        <v>459.97</v>
      </c>
      <c r="C718" s="2">
        <v>460.45</v>
      </c>
      <c r="D718" s="2">
        <v>460.47</v>
      </c>
      <c r="E718" s="2">
        <v>460.44</v>
      </c>
      <c r="F718" s="1">
        <v>0</v>
      </c>
    </row>
    <row r="719" spans="1:6" x14ac:dyDescent="0.35">
      <c r="A719" s="2" t="s">
        <v>508</v>
      </c>
      <c r="B719" s="2">
        <v>1629.66</v>
      </c>
      <c r="C719" s="2">
        <v>1579.08</v>
      </c>
      <c r="D719" s="2">
        <v>1630.66</v>
      </c>
      <c r="E719" s="2">
        <v>1507.5</v>
      </c>
      <c r="F719" s="1">
        <v>3.27E-2</v>
      </c>
    </row>
    <row r="720" spans="1:6" x14ac:dyDescent="0.35">
      <c r="A720" s="2" t="s">
        <v>246</v>
      </c>
      <c r="B720" s="2">
        <v>1498</v>
      </c>
      <c r="C720" s="2">
        <v>1499.11</v>
      </c>
      <c r="D720" s="2">
        <v>1503.5</v>
      </c>
      <c r="E720" s="2">
        <v>1497.5350000000001</v>
      </c>
      <c r="F720" s="1">
        <v>0</v>
      </c>
    </row>
    <row r="721" spans="1:6" x14ac:dyDescent="0.35">
      <c r="A721" s="2" t="s">
        <v>749</v>
      </c>
      <c r="B721" s="2">
        <v>459.85</v>
      </c>
      <c r="C721" s="2">
        <v>460.4</v>
      </c>
      <c r="D721" s="2">
        <v>460.41</v>
      </c>
      <c r="E721" s="2">
        <v>460.35</v>
      </c>
      <c r="F721" s="1">
        <v>-1E-4</v>
      </c>
    </row>
    <row r="722" spans="1:6" x14ac:dyDescent="0.35">
      <c r="A722" s="2" t="s">
        <v>487</v>
      </c>
      <c r="B722" s="2">
        <v>1415.13</v>
      </c>
      <c r="C722" s="2">
        <v>1416.13</v>
      </c>
      <c r="D722" s="2">
        <v>1420.0650000000001</v>
      </c>
      <c r="E722" s="2">
        <v>1290</v>
      </c>
      <c r="F722" s="1">
        <v>0</v>
      </c>
    </row>
    <row r="723" spans="1:6" x14ac:dyDescent="0.35">
      <c r="A723" s="2" t="s">
        <v>226</v>
      </c>
      <c r="B723" s="2">
        <v>1534.73</v>
      </c>
      <c r="C723" s="2">
        <v>1537.425</v>
      </c>
      <c r="D723" s="2">
        <v>1541.8</v>
      </c>
      <c r="E723" s="2">
        <v>1530</v>
      </c>
      <c r="F723" s="1">
        <v>6.9999999999999999E-4</v>
      </c>
    </row>
    <row r="724" spans="1:6" x14ac:dyDescent="0.35">
      <c r="A724" s="2" t="s">
        <v>726</v>
      </c>
      <c r="B724" s="2">
        <v>459.97</v>
      </c>
      <c r="C724" s="2">
        <v>460.47</v>
      </c>
      <c r="D724" s="2">
        <v>460.5</v>
      </c>
      <c r="E724" s="2">
        <v>460.45</v>
      </c>
      <c r="F724" s="1">
        <v>0</v>
      </c>
    </row>
    <row r="725" spans="1:6" x14ac:dyDescent="0.35">
      <c r="A725" s="2" t="s">
        <v>205</v>
      </c>
      <c r="B725" s="2">
        <v>1603.95</v>
      </c>
      <c r="C725" s="2">
        <v>1608.5</v>
      </c>
      <c r="D725" s="2">
        <v>1612.5</v>
      </c>
      <c r="E725" s="2">
        <v>1602.26</v>
      </c>
      <c r="F725" s="1">
        <v>-2.3E-3</v>
      </c>
    </row>
    <row r="726" spans="1:6" x14ac:dyDescent="0.35">
      <c r="A726" s="2" t="s">
        <v>444</v>
      </c>
      <c r="B726" s="2">
        <v>1301</v>
      </c>
      <c r="C726" s="2">
        <v>1475</v>
      </c>
      <c r="D726" s="2">
        <v>1485</v>
      </c>
      <c r="E726" s="2">
        <v>1301.5</v>
      </c>
      <c r="F726" s="1">
        <v>-0.1174</v>
      </c>
    </row>
    <row r="727" spans="1:6" x14ac:dyDescent="0.35">
      <c r="A727" s="2" t="s">
        <v>183</v>
      </c>
      <c r="B727" s="2">
        <v>1587.47</v>
      </c>
      <c r="C727" s="2">
        <v>1585.35</v>
      </c>
      <c r="D727" s="2">
        <v>1589.7149999999999</v>
      </c>
      <c r="E727" s="2">
        <v>1584.35</v>
      </c>
      <c r="F727" s="1">
        <v>5.9999999999999995E-4</v>
      </c>
    </row>
    <row r="728" spans="1:6" x14ac:dyDescent="0.35">
      <c r="A728" s="2" t="s">
        <v>683</v>
      </c>
      <c r="B728" s="2">
        <v>752.95</v>
      </c>
      <c r="C728" s="2">
        <v>764.55</v>
      </c>
      <c r="D728" s="2">
        <v>764.55</v>
      </c>
      <c r="E728" s="2">
        <v>753.97500000000002</v>
      </c>
      <c r="F728" s="1">
        <v>-1.32E-2</v>
      </c>
    </row>
    <row r="729" spans="1:6" x14ac:dyDescent="0.35">
      <c r="A729" s="2" t="s">
        <v>421</v>
      </c>
      <c r="B729" s="2">
        <v>1525</v>
      </c>
      <c r="C729" s="2">
        <v>1525</v>
      </c>
      <c r="D729" s="2">
        <v>1533.865</v>
      </c>
      <c r="E729" s="2">
        <v>1478.5</v>
      </c>
      <c r="F729" s="1">
        <v>0</v>
      </c>
    </row>
    <row r="730" spans="1:6" x14ac:dyDescent="0.35">
      <c r="A730" s="2" t="s">
        <v>661</v>
      </c>
      <c r="B730" s="2">
        <v>774.28</v>
      </c>
      <c r="C730" s="2">
        <v>775.5</v>
      </c>
      <c r="D730" s="2">
        <v>790</v>
      </c>
      <c r="E730" s="2">
        <v>775.5</v>
      </c>
      <c r="F730" s="1">
        <v>4.0000000000000002E-4</v>
      </c>
    </row>
    <row r="731" spans="1:6" x14ac:dyDescent="0.35">
      <c r="A731" s="2" t="s">
        <v>140</v>
      </c>
      <c r="B731" s="2">
        <v>1530.7650000000001</v>
      </c>
      <c r="C731" s="2">
        <v>1528</v>
      </c>
      <c r="D731" s="2">
        <v>1534.0250000000001</v>
      </c>
      <c r="E731" s="2">
        <v>1525.375</v>
      </c>
      <c r="F731" s="1">
        <v>-1.1999999999999999E-3</v>
      </c>
    </row>
    <row r="732" spans="1:6" x14ac:dyDescent="0.35">
      <c r="A732" s="2" t="s">
        <v>640</v>
      </c>
      <c r="B732" s="2">
        <v>773.9</v>
      </c>
      <c r="C732" s="2">
        <v>772.34</v>
      </c>
      <c r="D732" s="2">
        <v>774.4</v>
      </c>
      <c r="E732" s="2">
        <v>771.34</v>
      </c>
      <c r="F732" s="1">
        <v>4.0000000000000001E-3</v>
      </c>
    </row>
    <row r="733" spans="1:6" x14ac:dyDescent="0.35">
      <c r="A733" s="2" t="s">
        <v>378</v>
      </c>
      <c r="B733" s="2">
        <v>1590</v>
      </c>
      <c r="C733" s="2">
        <v>1590</v>
      </c>
      <c r="D733" s="2">
        <v>1612.5</v>
      </c>
      <c r="E733" s="2">
        <v>1576.57</v>
      </c>
      <c r="F733" s="1">
        <v>0</v>
      </c>
    </row>
    <row r="734" spans="1:6" x14ac:dyDescent="0.35">
      <c r="A734" s="2" t="s">
        <v>117</v>
      </c>
      <c r="B734" s="2">
        <v>1533.88</v>
      </c>
      <c r="C734" s="2">
        <v>1536.07</v>
      </c>
      <c r="D734" s="2">
        <v>1538.9749999999999</v>
      </c>
      <c r="E734" s="2">
        <v>1533.4549999999999</v>
      </c>
      <c r="F734" s="1">
        <v>-1.6000000000000001E-3</v>
      </c>
    </row>
    <row r="735" spans="1:6" x14ac:dyDescent="0.35">
      <c r="A735" s="2" t="s">
        <v>617</v>
      </c>
      <c r="B735" s="2">
        <v>777.6</v>
      </c>
      <c r="C735" s="2">
        <v>778.1</v>
      </c>
      <c r="D735" s="2">
        <v>798.5</v>
      </c>
      <c r="E735" s="2">
        <v>778.1</v>
      </c>
      <c r="F735" s="1">
        <v>0</v>
      </c>
    </row>
    <row r="736" spans="1:6" x14ac:dyDescent="0.35">
      <c r="A736" s="2" t="s">
        <v>335</v>
      </c>
      <c r="B736" s="2">
        <v>1643.26</v>
      </c>
      <c r="C736" s="2">
        <v>1643.26</v>
      </c>
      <c r="D736" s="2">
        <v>1677.5</v>
      </c>
      <c r="E736" s="2">
        <v>1626.13</v>
      </c>
      <c r="F736" s="1">
        <v>0</v>
      </c>
    </row>
    <row r="737" spans="1:6" x14ac:dyDescent="0.35">
      <c r="A737" s="2" t="s">
        <v>74</v>
      </c>
      <c r="B737" s="2">
        <v>1454.98</v>
      </c>
      <c r="C737" s="2">
        <v>1458.24</v>
      </c>
      <c r="D737" s="2">
        <v>1460.28</v>
      </c>
      <c r="E737" s="2">
        <v>1449.97</v>
      </c>
      <c r="F737" s="1">
        <v>-2.2000000000000001E-3</v>
      </c>
    </row>
    <row r="738" spans="1:6" x14ac:dyDescent="0.35">
      <c r="A738" s="2" t="s">
        <v>574</v>
      </c>
      <c r="B738" s="2">
        <v>789</v>
      </c>
      <c r="C738" s="2">
        <v>799.5</v>
      </c>
      <c r="D738" s="2">
        <v>806.5</v>
      </c>
      <c r="E738" s="2">
        <v>789.5</v>
      </c>
      <c r="F738" s="1">
        <v>-1.2500000000000001E-2</v>
      </c>
    </row>
    <row r="739" spans="1:6" x14ac:dyDescent="0.35">
      <c r="A739" s="2" t="s">
        <v>312</v>
      </c>
      <c r="B739" s="2">
        <v>1670.89</v>
      </c>
      <c r="C739" s="2">
        <v>1689.66</v>
      </c>
      <c r="D739" s="2">
        <v>1690.19</v>
      </c>
      <c r="E739" s="2">
        <v>1620</v>
      </c>
      <c r="F739" s="1">
        <v>-4.0000000000000001E-3</v>
      </c>
    </row>
    <row r="740" spans="1:6" x14ac:dyDescent="0.35">
      <c r="A740" s="2" t="s">
        <v>51</v>
      </c>
      <c r="B740" s="2">
        <v>1447.335</v>
      </c>
      <c r="C740" s="2">
        <v>1446.3150000000001</v>
      </c>
      <c r="D740" s="2">
        <v>1448.51</v>
      </c>
      <c r="E740" s="2">
        <v>1442.25</v>
      </c>
      <c r="F740" s="1">
        <v>6.9999999999999999E-4</v>
      </c>
    </row>
    <row r="741" spans="1:6" x14ac:dyDescent="0.35">
      <c r="A741" s="2" t="s">
        <v>552</v>
      </c>
      <c r="B741" s="2">
        <v>895.61</v>
      </c>
      <c r="C741" s="2">
        <v>885</v>
      </c>
      <c r="D741" s="2">
        <v>905.5</v>
      </c>
      <c r="E741" s="2">
        <v>885</v>
      </c>
      <c r="F741" s="1">
        <v>1.3100000000000001E-2</v>
      </c>
    </row>
    <row r="742" spans="1:6" x14ac:dyDescent="0.35">
      <c r="A742" s="2" t="s">
        <v>530</v>
      </c>
      <c r="B742" s="2">
        <v>891.05</v>
      </c>
      <c r="C742" s="2">
        <v>899.2</v>
      </c>
      <c r="D742" s="2">
        <v>911</v>
      </c>
      <c r="E742" s="2">
        <v>892.05</v>
      </c>
      <c r="F742" s="1">
        <v>-8.0000000000000002E-3</v>
      </c>
    </row>
    <row r="743" spans="1:6" x14ac:dyDescent="0.35">
      <c r="A743" s="2" t="s">
        <v>268</v>
      </c>
      <c r="B743" s="2">
        <v>1549.48</v>
      </c>
      <c r="C743" s="2">
        <v>1550.48</v>
      </c>
      <c r="D743" s="2">
        <v>1561</v>
      </c>
      <c r="E743" s="2">
        <v>1508</v>
      </c>
      <c r="F743" s="1">
        <v>0</v>
      </c>
    </row>
    <row r="744" spans="1:6" x14ac:dyDescent="0.35">
      <c r="A744" s="2" t="s">
        <v>7</v>
      </c>
      <c r="B744" s="2">
        <v>1385.5</v>
      </c>
      <c r="C744" s="2">
        <v>1393.23</v>
      </c>
      <c r="D744" s="2">
        <v>1396.9649999999999</v>
      </c>
      <c r="E744" s="2">
        <v>1375.645</v>
      </c>
      <c r="F744" s="1">
        <v>-6.6E-3</v>
      </c>
    </row>
    <row r="745" spans="1:6" x14ac:dyDescent="0.35">
      <c r="A745" s="2" t="s">
        <v>507</v>
      </c>
      <c r="B745" s="2">
        <v>1616.55</v>
      </c>
      <c r="C745" s="2">
        <v>1630.66</v>
      </c>
      <c r="D745" s="2">
        <v>1630.66</v>
      </c>
      <c r="E745" s="2">
        <v>1300.5</v>
      </c>
      <c r="F745" s="1">
        <v>-8.0000000000000002E-3</v>
      </c>
    </row>
    <row r="746" spans="1:6" x14ac:dyDescent="0.35">
      <c r="A746" s="2" t="s">
        <v>748</v>
      </c>
      <c r="B746" s="2">
        <v>459.82</v>
      </c>
      <c r="C746" s="2">
        <v>460.35</v>
      </c>
      <c r="D746" s="2">
        <v>460.4</v>
      </c>
      <c r="E746" s="2">
        <v>460.32</v>
      </c>
      <c r="F746" s="1">
        <v>-1E-4</v>
      </c>
    </row>
    <row r="747" spans="1:6" x14ac:dyDescent="0.35">
      <c r="A747" s="2" t="s">
        <v>486</v>
      </c>
      <c r="B747" s="2">
        <v>1303</v>
      </c>
      <c r="C747" s="2">
        <v>1416.13</v>
      </c>
      <c r="D747" s="2">
        <v>1416.13</v>
      </c>
      <c r="E747" s="2">
        <v>1304.17</v>
      </c>
      <c r="F747" s="1">
        <v>-7.9200000000000007E-2</v>
      </c>
    </row>
    <row r="748" spans="1:6" x14ac:dyDescent="0.35">
      <c r="A748" s="2" t="s">
        <v>465</v>
      </c>
      <c r="B748" s="2">
        <v>1355</v>
      </c>
      <c r="C748" s="2">
        <v>1380</v>
      </c>
      <c r="D748" s="2">
        <v>1390</v>
      </c>
      <c r="E748" s="2">
        <v>1356</v>
      </c>
      <c r="F748" s="1">
        <v>1.9199999999999998E-2</v>
      </c>
    </row>
    <row r="749" spans="1:6" x14ac:dyDescent="0.35">
      <c r="A749" s="2" t="s">
        <v>204</v>
      </c>
      <c r="B749" s="2">
        <v>1603.54</v>
      </c>
      <c r="C749" s="2">
        <v>1603.95</v>
      </c>
      <c r="D749" s="2">
        <v>1610.425</v>
      </c>
      <c r="E749" s="2">
        <v>1599.95</v>
      </c>
      <c r="F749" s="1">
        <v>-2.9999999999999997E-4</v>
      </c>
    </row>
    <row r="750" spans="1:6" x14ac:dyDescent="0.35">
      <c r="A750" s="2" t="s">
        <v>705</v>
      </c>
      <c r="B750" s="2">
        <v>460.25</v>
      </c>
      <c r="C750" s="2">
        <v>460.75</v>
      </c>
      <c r="D750" s="2">
        <v>460.75</v>
      </c>
      <c r="E750" s="2">
        <v>460.75</v>
      </c>
      <c r="F750" s="1">
        <v>-1E-4</v>
      </c>
    </row>
    <row r="751" spans="1:6" x14ac:dyDescent="0.35">
      <c r="A751" s="2" t="s">
        <v>443</v>
      </c>
      <c r="B751" s="2">
        <v>1320</v>
      </c>
      <c r="C751" s="2">
        <v>1380</v>
      </c>
      <c r="D751" s="2">
        <v>1435</v>
      </c>
      <c r="E751" s="2">
        <v>1305.5</v>
      </c>
      <c r="F751" s="1">
        <v>1.46E-2</v>
      </c>
    </row>
    <row r="752" spans="1:6" x14ac:dyDescent="0.35">
      <c r="A752" s="2" t="s">
        <v>182</v>
      </c>
      <c r="B752" s="2">
        <v>1589.81</v>
      </c>
      <c r="C752" s="2">
        <v>1585.64</v>
      </c>
      <c r="D752" s="2">
        <v>1592.76</v>
      </c>
      <c r="E752" s="2">
        <v>1585.32</v>
      </c>
      <c r="F752" s="1">
        <v>1.5E-3</v>
      </c>
    </row>
    <row r="753" spans="1:6" x14ac:dyDescent="0.35">
      <c r="A753" s="2" t="s">
        <v>682</v>
      </c>
      <c r="B753" s="2">
        <v>752.94</v>
      </c>
      <c r="C753" s="2">
        <v>754.45</v>
      </c>
      <c r="D753" s="2">
        <v>754.97500000000002</v>
      </c>
      <c r="E753" s="2">
        <v>753.97</v>
      </c>
      <c r="F753" s="1">
        <v>0</v>
      </c>
    </row>
    <row r="754" spans="1:6" x14ac:dyDescent="0.35">
      <c r="A754" s="2" t="s">
        <v>400</v>
      </c>
      <c r="B754" s="2">
        <v>1620</v>
      </c>
      <c r="C754" s="2">
        <v>1620</v>
      </c>
      <c r="D754" s="2">
        <v>1630.68</v>
      </c>
      <c r="E754" s="2">
        <v>1550.5</v>
      </c>
      <c r="F754" s="1">
        <v>0</v>
      </c>
    </row>
    <row r="755" spans="1:6" x14ac:dyDescent="0.35">
      <c r="A755" s="2" t="s">
        <v>139</v>
      </c>
      <c r="B755" s="2">
        <v>1533</v>
      </c>
      <c r="C755" s="2">
        <v>1530.77</v>
      </c>
      <c r="D755" s="2">
        <v>1535.075</v>
      </c>
      <c r="E755" s="2">
        <v>1528.51</v>
      </c>
      <c r="F755" s="1">
        <v>1.5E-3</v>
      </c>
    </row>
    <row r="756" spans="1:6" x14ac:dyDescent="0.35">
      <c r="A756" s="2" t="s">
        <v>639</v>
      </c>
      <c r="B756" s="2">
        <v>771.97</v>
      </c>
      <c r="C756" s="2">
        <v>774.4</v>
      </c>
      <c r="D756" s="2">
        <v>774.4</v>
      </c>
      <c r="E756" s="2">
        <v>760.5</v>
      </c>
      <c r="F756" s="1">
        <v>-2.5000000000000001E-3</v>
      </c>
    </row>
    <row r="757" spans="1:6" x14ac:dyDescent="0.35">
      <c r="A757" s="2" t="s">
        <v>377</v>
      </c>
      <c r="B757" s="2">
        <v>1590</v>
      </c>
      <c r="C757" s="2">
        <v>1590</v>
      </c>
      <c r="D757" s="2">
        <v>1611.4</v>
      </c>
      <c r="E757" s="2">
        <v>1579.075</v>
      </c>
      <c r="F757" s="1">
        <v>0</v>
      </c>
    </row>
    <row r="758" spans="1:6" x14ac:dyDescent="0.35">
      <c r="A758" s="2" t="s">
        <v>116</v>
      </c>
      <c r="B758" s="2">
        <v>1536.95</v>
      </c>
      <c r="C758" s="2">
        <v>1534.32</v>
      </c>
      <c r="D758" s="2">
        <v>1537.44</v>
      </c>
      <c r="E758" s="2">
        <v>1531.8</v>
      </c>
      <c r="F758" s="1">
        <v>2E-3</v>
      </c>
    </row>
    <row r="759" spans="1:6" x14ac:dyDescent="0.35">
      <c r="A759" s="2" t="s">
        <v>616</v>
      </c>
      <c r="B759" s="2">
        <v>768</v>
      </c>
      <c r="C759" s="2">
        <v>778.1</v>
      </c>
      <c r="D759" s="2">
        <v>781.5</v>
      </c>
      <c r="E759" s="2">
        <v>768.8</v>
      </c>
      <c r="F759" s="1">
        <v>-1.23E-2</v>
      </c>
    </row>
    <row r="760" spans="1:6" x14ac:dyDescent="0.35">
      <c r="A760" s="2" t="s">
        <v>95</v>
      </c>
      <c r="B760" s="2">
        <v>1485.675</v>
      </c>
      <c r="C760" s="2">
        <v>1484.91</v>
      </c>
      <c r="D760" s="2">
        <v>1488.135</v>
      </c>
      <c r="E760" s="2">
        <v>1480.31</v>
      </c>
      <c r="F760" s="1">
        <v>-4.0000000000000002E-4</v>
      </c>
    </row>
    <row r="761" spans="1:6" x14ac:dyDescent="0.35">
      <c r="A761" s="2" t="s">
        <v>334</v>
      </c>
      <c r="B761" s="2">
        <v>1643.26</v>
      </c>
      <c r="C761" s="2">
        <v>1643.26</v>
      </c>
      <c r="D761" s="2">
        <v>1687.05</v>
      </c>
      <c r="E761" s="2">
        <v>1642.05</v>
      </c>
      <c r="F761" s="1">
        <v>0</v>
      </c>
    </row>
    <row r="762" spans="1:6" x14ac:dyDescent="0.35">
      <c r="A762" s="2" t="s">
        <v>73</v>
      </c>
      <c r="B762" s="2">
        <v>1448.73</v>
      </c>
      <c r="C762" s="2">
        <v>1455.08</v>
      </c>
      <c r="D762" s="2">
        <v>1456.2049999999999</v>
      </c>
      <c r="E762" s="2">
        <v>1445.9349999999999</v>
      </c>
      <c r="F762" s="1">
        <v>-4.3E-3</v>
      </c>
    </row>
    <row r="763" spans="1:6" x14ac:dyDescent="0.35">
      <c r="A763" s="2" t="s">
        <v>573</v>
      </c>
      <c r="B763" s="2">
        <v>793</v>
      </c>
      <c r="C763" s="2">
        <v>789.5</v>
      </c>
      <c r="D763" s="2">
        <v>793.5</v>
      </c>
      <c r="E763" s="2">
        <v>789.5</v>
      </c>
      <c r="F763" s="1">
        <v>5.1000000000000004E-3</v>
      </c>
    </row>
    <row r="764" spans="1:6" x14ac:dyDescent="0.35">
      <c r="A764" s="2" t="s">
        <v>311</v>
      </c>
      <c r="B764" s="2">
        <v>1670.89</v>
      </c>
      <c r="C764" s="2">
        <v>1682.89</v>
      </c>
      <c r="D764" s="2">
        <v>1689.63</v>
      </c>
      <c r="E764" s="2">
        <v>1642.5</v>
      </c>
      <c r="F764" s="1">
        <v>0</v>
      </c>
    </row>
    <row r="765" spans="1:6" x14ac:dyDescent="0.35">
      <c r="A765" s="2" t="s">
        <v>551</v>
      </c>
      <c r="B765" s="2">
        <v>881.03</v>
      </c>
      <c r="C765" s="2">
        <v>896.61</v>
      </c>
      <c r="D765" s="2">
        <v>897.80499999999995</v>
      </c>
      <c r="E765" s="2">
        <v>882.03</v>
      </c>
      <c r="F765" s="1">
        <v>-1.6299999999999999E-2</v>
      </c>
    </row>
    <row r="766" spans="1:6" x14ac:dyDescent="0.35">
      <c r="A766" s="2" t="s">
        <v>30</v>
      </c>
      <c r="B766" s="2">
        <v>1453.2850000000001</v>
      </c>
      <c r="C766" s="2">
        <v>1450.66</v>
      </c>
      <c r="D766" s="2">
        <v>1453.96</v>
      </c>
      <c r="E766" s="2">
        <v>1445.345</v>
      </c>
      <c r="F766" s="1">
        <v>1.1000000000000001E-3</v>
      </c>
    </row>
    <row r="767" spans="1:6" x14ac:dyDescent="0.35">
      <c r="A767" s="2" t="s">
        <v>790</v>
      </c>
      <c r="B767" s="2">
        <v>459.91</v>
      </c>
      <c r="C767" s="2">
        <v>460.28</v>
      </c>
      <c r="D767" s="2">
        <v>460.5</v>
      </c>
      <c r="E767" s="2">
        <v>460.28</v>
      </c>
      <c r="F767" s="1">
        <v>2.9999999999999997E-4</v>
      </c>
    </row>
    <row r="768" spans="1:6" x14ac:dyDescent="0.35">
      <c r="A768" s="2" t="s">
        <v>529</v>
      </c>
      <c r="B768" s="2">
        <v>1100</v>
      </c>
      <c r="C768" s="2">
        <v>892.05</v>
      </c>
      <c r="D768" s="2">
        <v>1250.75</v>
      </c>
      <c r="E768" s="2">
        <v>892.05</v>
      </c>
      <c r="F768" s="1">
        <v>0.23449999999999999</v>
      </c>
    </row>
    <row r="769" spans="1:6" x14ac:dyDescent="0.35">
      <c r="A769" s="2" t="s">
        <v>267</v>
      </c>
      <c r="B769" s="2">
        <v>1498</v>
      </c>
      <c r="C769" s="2">
        <v>1550.48</v>
      </c>
      <c r="D769" s="2">
        <v>1553.24</v>
      </c>
      <c r="E769" s="2">
        <v>1491</v>
      </c>
      <c r="F769" s="1">
        <v>-3.32E-2</v>
      </c>
    </row>
    <row r="770" spans="1:6" x14ac:dyDescent="0.35">
      <c r="A770" s="2" t="s">
        <v>6</v>
      </c>
      <c r="B770" s="2">
        <v>1386.4549999999999</v>
      </c>
      <c r="C770" s="2">
        <v>1385.96</v>
      </c>
      <c r="D770" s="2">
        <v>1392.08</v>
      </c>
      <c r="E770" s="2">
        <v>1382.2850000000001</v>
      </c>
      <c r="F770" s="1">
        <v>6.9999999999999999E-4</v>
      </c>
    </row>
    <row r="771" spans="1:6" x14ac:dyDescent="0.35">
      <c r="A771" s="2" t="s">
        <v>747</v>
      </c>
      <c r="B771" s="2">
        <v>459.85</v>
      </c>
      <c r="C771" s="2">
        <v>460.32</v>
      </c>
      <c r="D771" s="2">
        <v>460.35</v>
      </c>
      <c r="E771" s="2">
        <v>460.29</v>
      </c>
      <c r="F771" s="1">
        <v>1E-4</v>
      </c>
    </row>
    <row r="772" spans="1:6" x14ac:dyDescent="0.35">
      <c r="A772" s="2" t="s">
        <v>464</v>
      </c>
      <c r="B772" s="2">
        <v>1389</v>
      </c>
      <c r="C772" s="2">
        <v>1415</v>
      </c>
      <c r="D772" s="2">
        <v>1415</v>
      </c>
      <c r="E772" s="2">
        <v>1365</v>
      </c>
      <c r="F772" s="1">
        <v>2.5100000000000001E-2</v>
      </c>
    </row>
    <row r="773" spans="1:6" x14ac:dyDescent="0.35">
      <c r="A773" s="2" t="s">
        <v>203</v>
      </c>
      <c r="B773" s="2">
        <v>1602.39</v>
      </c>
      <c r="C773" s="2">
        <v>1603.53</v>
      </c>
      <c r="D773" s="2">
        <v>1610</v>
      </c>
      <c r="E773" s="2">
        <v>1597.44</v>
      </c>
      <c r="F773" s="1">
        <v>-6.9999999999999999E-4</v>
      </c>
    </row>
    <row r="774" spans="1:6" x14ac:dyDescent="0.35">
      <c r="A774" s="2" t="s">
        <v>704</v>
      </c>
      <c r="B774" s="2">
        <v>460.45</v>
      </c>
      <c r="C774" s="2">
        <v>460.75</v>
      </c>
      <c r="D774" s="2">
        <v>464.5</v>
      </c>
      <c r="E774" s="2">
        <v>460.71</v>
      </c>
      <c r="F774" s="1">
        <v>4.0000000000000002E-4</v>
      </c>
    </row>
    <row r="775" spans="1:6" x14ac:dyDescent="0.35">
      <c r="A775" s="2" t="s">
        <v>442</v>
      </c>
      <c r="B775" s="2">
        <v>1196.0999999999999</v>
      </c>
      <c r="C775" s="2">
        <v>1321</v>
      </c>
      <c r="D775" s="2">
        <v>1495</v>
      </c>
      <c r="E775" s="2">
        <v>1197.05</v>
      </c>
      <c r="F775" s="1">
        <v>-9.3899999999999997E-2</v>
      </c>
    </row>
    <row r="776" spans="1:6" x14ac:dyDescent="0.35">
      <c r="A776" s="2" t="s">
        <v>181</v>
      </c>
      <c r="B776" s="2">
        <v>1587.95</v>
      </c>
      <c r="C776" s="2">
        <v>1589.81</v>
      </c>
      <c r="D776" s="2">
        <v>1591.585</v>
      </c>
      <c r="E776" s="2">
        <v>1585.88</v>
      </c>
      <c r="F776" s="1">
        <v>-1.1999999999999999E-3</v>
      </c>
    </row>
    <row r="777" spans="1:6" x14ac:dyDescent="0.35">
      <c r="A777" s="2" t="s">
        <v>681</v>
      </c>
      <c r="B777" s="2">
        <v>758.77</v>
      </c>
      <c r="C777" s="2">
        <v>754.44</v>
      </c>
      <c r="D777" s="2">
        <v>775.5</v>
      </c>
      <c r="E777" s="2">
        <v>753.97</v>
      </c>
      <c r="F777" s="1">
        <v>7.7000000000000002E-3</v>
      </c>
    </row>
    <row r="778" spans="1:6" x14ac:dyDescent="0.35">
      <c r="A778" s="2" t="s">
        <v>160</v>
      </c>
      <c r="B778" s="2">
        <v>1536.375</v>
      </c>
      <c r="C778" s="2">
        <v>1543.5</v>
      </c>
      <c r="D778" s="2">
        <v>1545.5</v>
      </c>
      <c r="E778" s="2">
        <v>1528.675</v>
      </c>
      <c r="F778" s="1">
        <v>-4.0000000000000001E-3</v>
      </c>
    </row>
    <row r="779" spans="1:6" x14ac:dyDescent="0.35">
      <c r="A779" s="2" t="s">
        <v>399</v>
      </c>
      <c r="B779" s="2">
        <v>1660</v>
      </c>
      <c r="C779" s="2">
        <v>1620</v>
      </c>
      <c r="D779" s="2">
        <v>1660</v>
      </c>
      <c r="E779" s="2">
        <v>1591.68</v>
      </c>
      <c r="F779" s="1">
        <v>2.47E-2</v>
      </c>
    </row>
    <row r="780" spans="1:6" x14ac:dyDescent="0.35">
      <c r="A780" s="2" t="s">
        <v>138</v>
      </c>
      <c r="B780" s="2">
        <v>1530.35</v>
      </c>
      <c r="C780" s="2">
        <v>1532.12</v>
      </c>
      <c r="D780" s="2">
        <v>1536.08</v>
      </c>
      <c r="E780" s="2">
        <v>1529.105</v>
      </c>
      <c r="F780" s="1">
        <v>-1.6999999999999999E-3</v>
      </c>
    </row>
    <row r="781" spans="1:6" x14ac:dyDescent="0.35">
      <c r="A781" s="2" t="s">
        <v>638</v>
      </c>
      <c r="B781" s="2">
        <v>773</v>
      </c>
      <c r="C781" s="2">
        <v>772.47</v>
      </c>
      <c r="D781" s="2">
        <v>784.5</v>
      </c>
      <c r="E781" s="2">
        <v>740.5</v>
      </c>
      <c r="F781" s="1">
        <v>1.2999999999999999E-3</v>
      </c>
    </row>
    <row r="782" spans="1:6" x14ac:dyDescent="0.35">
      <c r="A782" s="2" t="s">
        <v>376</v>
      </c>
      <c r="B782" s="2">
        <v>1590</v>
      </c>
      <c r="C782" s="2">
        <v>1590</v>
      </c>
      <c r="D782" s="2">
        <v>1608.9</v>
      </c>
      <c r="E782" s="2">
        <v>1582.32</v>
      </c>
      <c r="F782" s="1">
        <v>0</v>
      </c>
    </row>
    <row r="783" spans="1:6" x14ac:dyDescent="0.35">
      <c r="A783" s="2" t="s">
        <v>355</v>
      </c>
      <c r="B783" s="2">
        <v>1668.97</v>
      </c>
      <c r="C783" s="2">
        <v>1668.97</v>
      </c>
      <c r="D783" s="2">
        <v>1683.11</v>
      </c>
      <c r="E783" s="2">
        <v>1635</v>
      </c>
      <c r="F783" s="1">
        <v>0</v>
      </c>
    </row>
    <row r="784" spans="1:6" x14ac:dyDescent="0.35">
      <c r="A784" s="2" t="s">
        <v>94</v>
      </c>
      <c r="B784" s="2">
        <v>1483.175</v>
      </c>
      <c r="C784" s="2">
        <v>1481.59</v>
      </c>
      <c r="D784" s="2">
        <v>1486.2650000000001</v>
      </c>
      <c r="E784" s="2">
        <v>1475</v>
      </c>
      <c r="F784" s="1">
        <v>-1.6999999999999999E-3</v>
      </c>
    </row>
    <row r="785" spans="1:6" x14ac:dyDescent="0.35">
      <c r="A785" s="2" t="s">
        <v>595</v>
      </c>
      <c r="B785" s="2">
        <v>785.98</v>
      </c>
      <c r="C785" s="2">
        <v>790.5</v>
      </c>
      <c r="D785" s="2">
        <v>795</v>
      </c>
      <c r="E785" s="2">
        <v>785.99</v>
      </c>
      <c r="F785" s="1">
        <v>-5.1000000000000004E-3</v>
      </c>
    </row>
    <row r="786" spans="1:6" x14ac:dyDescent="0.35">
      <c r="A786" s="2" t="s">
        <v>333</v>
      </c>
      <c r="B786" s="2">
        <v>1643.26</v>
      </c>
      <c r="C786" s="2">
        <v>1643.26</v>
      </c>
      <c r="D786" s="2">
        <v>1672.05</v>
      </c>
      <c r="E786" s="2">
        <v>1629.13</v>
      </c>
      <c r="F786" s="1">
        <v>0</v>
      </c>
    </row>
    <row r="787" spans="1:6" x14ac:dyDescent="0.35">
      <c r="A787" s="2" t="s">
        <v>72</v>
      </c>
      <c r="B787" s="2">
        <v>1442.29</v>
      </c>
      <c r="C787" s="2">
        <v>1448.85</v>
      </c>
      <c r="D787" s="2">
        <v>1459.335</v>
      </c>
      <c r="E787" s="2">
        <v>1441.45</v>
      </c>
      <c r="F787" s="1">
        <v>-4.4000000000000003E-3</v>
      </c>
    </row>
    <row r="788" spans="1:6" x14ac:dyDescent="0.35">
      <c r="A788" s="2" t="s">
        <v>572</v>
      </c>
      <c r="B788" s="2">
        <v>790</v>
      </c>
      <c r="C788" s="2">
        <v>793.5</v>
      </c>
      <c r="D788" s="2">
        <v>793.5</v>
      </c>
      <c r="E788" s="2">
        <v>789.5</v>
      </c>
      <c r="F788" s="1">
        <v>-3.8E-3</v>
      </c>
    </row>
    <row r="789" spans="1:6" x14ac:dyDescent="0.35">
      <c r="A789" s="2" t="s">
        <v>290</v>
      </c>
      <c r="B789" s="2">
        <v>1534</v>
      </c>
      <c r="C789" s="2">
        <v>1538.57</v>
      </c>
      <c r="D789" s="2">
        <v>1559.5</v>
      </c>
      <c r="E789" s="2">
        <v>1532.2850000000001</v>
      </c>
      <c r="F789" s="1">
        <v>-3.2000000000000002E-3</v>
      </c>
    </row>
    <row r="790" spans="1:6" x14ac:dyDescent="0.35">
      <c r="A790" s="2" t="s">
        <v>29</v>
      </c>
      <c r="B790" s="2">
        <v>1454.8150000000001</v>
      </c>
      <c r="C790" s="2">
        <v>1451</v>
      </c>
      <c r="D790" s="2">
        <v>1454.8150000000001</v>
      </c>
      <c r="E790" s="2">
        <v>1442.4849999999999</v>
      </c>
      <c r="F790" s="1">
        <v>1.1000000000000001E-3</v>
      </c>
    </row>
    <row r="791" spans="1:6" x14ac:dyDescent="0.35">
      <c r="A791" s="2" t="s">
        <v>789</v>
      </c>
      <c r="B791" s="2">
        <v>460.02</v>
      </c>
      <c r="C791" s="2">
        <v>460.41</v>
      </c>
      <c r="D791" s="2">
        <v>460.52</v>
      </c>
      <c r="E791" s="2">
        <v>460.41</v>
      </c>
      <c r="F791" s="1">
        <v>2.0000000000000001E-4</v>
      </c>
    </row>
    <row r="792" spans="1:6" x14ac:dyDescent="0.35">
      <c r="A792" s="2" t="s">
        <v>528</v>
      </c>
      <c r="B792" s="2">
        <v>1191.94</v>
      </c>
      <c r="C792" s="2">
        <v>1100.5</v>
      </c>
      <c r="D792" s="2">
        <v>1192.94</v>
      </c>
      <c r="E792" s="2">
        <v>1100.5</v>
      </c>
      <c r="F792" s="1">
        <v>8.3599999999999994E-2</v>
      </c>
    </row>
    <row r="793" spans="1:6" x14ac:dyDescent="0.35">
      <c r="A793" s="2" t="s">
        <v>266</v>
      </c>
      <c r="B793" s="2">
        <v>1480</v>
      </c>
      <c r="C793" s="2">
        <v>1499</v>
      </c>
      <c r="D793" s="2">
        <v>1515</v>
      </c>
      <c r="E793" s="2">
        <v>1442.5</v>
      </c>
      <c r="F793" s="1">
        <v>-1.2E-2</v>
      </c>
    </row>
    <row r="794" spans="1:6" x14ac:dyDescent="0.35">
      <c r="A794" s="2" t="s">
        <v>746</v>
      </c>
      <c r="B794" s="2">
        <v>459.84</v>
      </c>
      <c r="C794" s="2">
        <v>460.35</v>
      </c>
      <c r="D794" s="2">
        <v>460.35</v>
      </c>
      <c r="E794" s="2">
        <v>460.34</v>
      </c>
      <c r="F794" s="1">
        <v>0</v>
      </c>
    </row>
    <row r="795" spans="1:6" x14ac:dyDescent="0.35">
      <c r="A795" s="2" t="s">
        <v>225</v>
      </c>
      <c r="B795" s="2">
        <v>1534.83</v>
      </c>
      <c r="C795" s="2">
        <v>1526.5</v>
      </c>
      <c r="D795" s="2">
        <v>1538.855</v>
      </c>
      <c r="E795" s="2">
        <v>1523.5</v>
      </c>
      <c r="F795" s="1">
        <v>1E-4</v>
      </c>
    </row>
    <row r="796" spans="1:6" x14ac:dyDescent="0.35">
      <c r="A796" s="2" t="s">
        <v>703</v>
      </c>
      <c r="B796" s="2">
        <v>460.6</v>
      </c>
      <c r="C796" s="2">
        <v>460.95</v>
      </c>
      <c r="D796" s="2">
        <v>461.1</v>
      </c>
      <c r="E796" s="2">
        <v>460.95</v>
      </c>
      <c r="F796" s="1">
        <v>2.9999999999999997E-4</v>
      </c>
    </row>
    <row r="797" spans="1:6" x14ac:dyDescent="0.35">
      <c r="A797" s="2" t="s">
        <v>441</v>
      </c>
      <c r="B797" s="2">
        <v>1484</v>
      </c>
      <c r="C797" s="2">
        <v>1197.0999999999999</v>
      </c>
      <c r="D797" s="2">
        <v>1510</v>
      </c>
      <c r="E797" s="2">
        <v>1197.05</v>
      </c>
      <c r="F797" s="1">
        <v>0.2407</v>
      </c>
    </row>
    <row r="798" spans="1:6" x14ac:dyDescent="0.35">
      <c r="A798" s="2" t="s">
        <v>660</v>
      </c>
      <c r="B798" s="2">
        <v>758.9</v>
      </c>
      <c r="C798" s="2">
        <v>775.78</v>
      </c>
      <c r="D798" s="2">
        <v>792.5</v>
      </c>
      <c r="E798" s="2">
        <v>759.95</v>
      </c>
      <c r="F798" s="1">
        <v>-1.9900000000000001E-2</v>
      </c>
    </row>
    <row r="799" spans="1:6" x14ac:dyDescent="0.35">
      <c r="A799" s="2" t="s">
        <v>398</v>
      </c>
      <c r="B799" s="2">
        <v>1660</v>
      </c>
      <c r="C799" s="2">
        <v>1660</v>
      </c>
      <c r="D799" s="2">
        <v>1670</v>
      </c>
      <c r="E799" s="2">
        <v>1605</v>
      </c>
      <c r="F799" s="1">
        <v>0</v>
      </c>
    </row>
    <row r="800" spans="1:6" x14ac:dyDescent="0.35">
      <c r="A800" s="2" t="s">
        <v>137</v>
      </c>
      <c r="B800" s="2">
        <v>1530.895</v>
      </c>
      <c r="C800" s="2">
        <v>1531.7650000000001</v>
      </c>
      <c r="D800" s="2">
        <v>1534.41</v>
      </c>
      <c r="E800" s="2">
        <v>1529</v>
      </c>
      <c r="F800" s="1">
        <v>4.0000000000000002E-4</v>
      </c>
    </row>
    <row r="801" spans="1:6" x14ac:dyDescent="0.35">
      <c r="A801" s="2" t="s">
        <v>637</v>
      </c>
      <c r="B801" s="2">
        <v>773</v>
      </c>
      <c r="C801" s="2">
        <v>773.5</v>
      </c>
      <c r="D801" s="2">
        <v>774.5</v>
      </c>
      <c r="E801" s="2">
        <v>773.5</v>
      </c>
      <c r="F801" s="1">
        <v>0</v>
      </c>
    </row>
    <row r="802" spans="1:6" x14ac:dyDescent="0.35">
      <c r="A802" s="2" t="s">
        <v>594</v>
      </c>
      <c r="B802" s="2">
        <v>785</v>
      </c>
      <c r="C802" s="2">
        <v>786.48</v>
      </c>
      <c r="D802" s="2">
        <v>786.99</v>
      </c>
      <c r="E802" s="2">
        <v>785.99</v>
      </c>
      <c r="F802" s="1">
        <v>-1.1999999999999999E-3</v>
      </c>
    </row>
    <row r="803" spans="1:6" x14ac:dyDescent="0.35">
      <c r="A803" s="2" t="s">
        <v>332</v>
      </c>
      <c r="B803" s="2">
        <v>1643.26</v>
      </c>
      <c r="C803" s="2">
        <v>1643.26</v>
      </c>
      <c r="D803" s="2">
        <v>1666.18</v>
      </c>
      <c r="E803" s="2">
        <v>1635.52</v>
      </c>
      <c r="F803" s="1">
        <v>0</v>
      </c>
    </row>
    <row r="804" spans="1:6" x14ac:dyDescent="0.35">
      <c r="A804" s="2" t="s">
        <v>71</v>
      </c>
      <c r="B804" s="2">
        <v>1446.81</v>
      </c>
      <c r="C804" s="2">
        <v>1443.3050000000001</v>
      </c>
      <c r="D804" s="2">
        <v>1451.97</v>
      </c>
      <c r="E804" s="2">
        <v>1429.15</v>
      </c>
      <c r="F804" s="1">
        <v>3.0999999999999999E-3</v>
      </c>
    </row>
    <row r="805" spans="1:6" x14ac:dyDescent="0.35">
      <c r="A805" s="2" t="s">
        <v>289</v>
      </c>
      <c r="B805" s="2">
        <v>1534</v>
      </c>
      <c r="C805" s="2">
        <v>1544</v>
      </c>
      <c r="D805" s="2">
        <v>1545.7850000000001</v>
      </c>
      <c r="E805" s="2">
        <v>1536.7850000000001</v>
      </c>
      <c r="F805" s="1">
        <v>0</v>
      </c>
    </row>
    <row r="806" spans="1:6" x14ac:dyDescent="0.35">
      <c r="A806" s="2" t="s">
        <v>28</v>
      </c>
      <c r="B806" s="2">
        <v>1444.57</v>
      </c>
      <c r="C806" s="2">
        <v>1454.83</v>
      </c>
      <c r="D806" s="2">
        <v>1454.83</v>
      </c>
      <c r="E806" s="2">
        <v>1440.66</v>
      </c>
      <c r="F806" s="1">
        <v>-7.0000000000000001E-3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07"/>
  <sheetViews>
    <sheetView topLeftCell="A342" zoomScale="85" zoomScaleNormal="85" workbookViewId="0">
      <selection activeCell="Q353" sqref="Q353"/>
    </sheetView>
  </sheetViews>
  <sheetFormatPr defaultRowHeight="14.5" x14ac:dyDescent="0.35"/>
  <cols>
    <col min="1" max="1" width="12.6328125" style="4" customWidth="1"/>
    <col min="2" max="4" width="8.81640625" bestFit="1" customWidth="1"/>
    <col min="5" max="5" width="8.81640625" style="2" bestFit="1" customWidth="1"/>
    <col min="6" max="6" width="11.1796875" bestFit="1" customWidth="1"/>
    <col min="8" max="8" width="9.7265625" customWidth="1"/>
    <col min="9" max="9" width="13.81640625" customWidth="1"/>
    <col min="10" max="10" width="12.54296875" customWidth="1"/>
    <col min="11" max="11" width="8.7265625" customWidth="1"/>
    <col min="12" max="12" width="18" customWidth="1"/>
    <col min="13" max="13" width="11" customWidth="1"/>
  </cols>
  <sheetData>
    <row r="1" spans="1:13" x14ac:dyDescent="0.35">
      <c r="A1" s="4" t="s">
        <v>0</v>
      </c>
      <c r="B1" s="1" t="s">
        <v>1</v>
      </c>
      <c r="C1" s="1" t="s">
        <v>2</v>
      </c>
      <c r="D1" s="1" t="s">
        <v>3</v>
      </c>
      <c r="E1" s="2" t="s">
        <v>4</v>
      </c>
      <c r="F1" s="1" t="s">
        <v>5</v>
      </c>
      <c r="G1" t="s">
        <v>811</v>
      </c>
      <c r="H1" t="s">
        <v>812</v>
      </c>
      <c r="I1" t="s">
        <v>846</v>
      </c>
      <c r="J1" t="s">
        <v>813</v>
      </c>
      <c r="K1" t="s">
        <v>814</v>
      </c>
      <c r="L1" t="s">
        <v>825</v>
      </c>
      <c r="M1" t="s">
        <v>815</v>
      </c>
    </row>
    <row r="2" spans="1:13" x14ac:dyDescent="0.35">
      <c r="A2" s="4">
        <v>44928</v>
      </c>
      <c r="B2" s="2">
        <v>447.58</v>
      </c>
      <c r="C2" s="2">
        <v>448.08</v>
      </c>
      <c r="D2" s="2">
        <v>448.08</v>
      </c>
      <c r="E2" s="2">
        <v>448.08</v>
      </c>
      <c r="F2" s="1">
        <v>0</v>
      </c>
      <c r="G2" s="2">
        <f t="shared" ref="G2:G65" si="0">YEAR(A2)</f>
        <v>2023</v>
      </c>
      <c r="H2" s="2" t="str">
        <f t="shared" ref="H2:H65" si="1">TEXT(A2,"mmm")</f>
        <v>Jan</v>
      </c>
      <c r="I2" s="2">
        <f t="shared" ref="I2:I65" si="2">MONTH(A2)</f>
        <v>1</v>
      </c>
      <c r="J2" s="2" t="str">
        <f t="shared" ref="J2:J65" si="3">TEXT(A2,"yyyy-mm")</f>
        <v>2023-01</v>
      </c>
      <c r="K2" s="2">
        <f t="shared" ref="K2:K65" si="4">WEEKNUM(A2)</f>
        <v>1</v>
      </c>
      <c r="L2" s="2" t="e">
        <f ca="1">AVERAGE(OFFSET(USD_NGN_Historical_Data__17[[#This Row],[Rate]], -6, 0, 7, 1))</f>
        <v>#REF!</v>
      </c>
      <c r="M2" s="2" t="str">
        <f t="shared" ref="M2:M65" si="5">TEXT(A2, "ddd")</f>
        <v>Mon</v>
      </c>
    </row>
    <row r="3" spans="1:13" x14ac:dyDescent="0.35">
      <c r="A3" s="4">
        <v>44929</v>
      </c>
      <c r="B3" s="2">
        <v>448.05</v>
      </c>
      <c r="C3" s="2">
        <v>448.08</v>
      </c>
      <c r="D3" s="2">
        <v>448.55</v>
      </c>
      <c r="E3" s="2">
        <v>445.5</v>
      </c>
      <c r="F3" s="1">
        <v>1.1000000000000001E-3</v>
      </c>
      <c r="G3" s="2">
        <f t="shared" si="0"/>
        <v>2023</v>
      </c>
      <c r="H3" s="2" t="str">
        <f t="shared" si="1"/>
        <v>Jan</v>
      </c>
      <c r="I3" s="2">
        <f t="shared" si="2"/>
        <v>1</v>
      </c>
      <c r="J3" s="2" t="str">
        <f t="shared" si="3"/>
        <v>2023-01</v>
      </c>
      <c r="K3" s="2">
        <f t="shared" si="4"/>
        <v>1</v>
      </c>
      <c r="L3" s="2" t="e">
        <f ca="1">AVERAGE(OFFSET(USD_NGN_Historical_Data__17[[#This Row],[Rate]], -6, 0, 7, 1))</f>
        <v>#REF!</v>
      </c>
      <c r="M3" s="2" t="str">
        <f t="shared" si="5"/>
        <v>Tue</v>
      </c>
    </row>
    <row r="4" spans="1:13" x14ac:dyDescent="0.35">
      <c r="A4" s="4">
        <v>44930</v>
      </c>
      <c r="B4" s="2">
        <v>448.51</v>
      </c>
      <c r="C4" s="2">
        <v>448.55</v>
      </c>
      <c r="D4" s="2">
        <v>449.01</v>
      </c>
      <c r="E4" s="2">
        <v>448.55</v>
      </c>
      <c r="F4" s="1">
        <v>1E-3</v>
      </c>
      <c r="G4" s="2">
        <f t="shared" si="0"/>
        <v>2023</v>
      </c>
      <c r="H4" s="2" t="str">
        <f t="shared" si="1"/>
        <v>Jan</v>
      </c>
      <c r="I4" s="2">
        <f t="shared" si="2"/>
        <v>1</v>
      </c>
      <c r="J4" s="2" t="str">
        <f t="shared" si="3"/>
        <v>2023-01</v>
      </c>
      <c r="K4" s="2">
        <f t="shared" si="4"/>
        <v>1</v>
      </c>
      <c r="L4" s="2" t="e">
        <f ca="1">AVERAGE(OFFSET(USD_NGN_Historical_Data__17[[#This Row],[Rate]], -6, 0, 7, 1))</f>
        <v>#REF!</v>
      </c>
      <c r="M4" s="2" t="str">
        <f t="shared" si="5"/>
        <v>Wed</v>
      </c>
    </row>
    <row r="5" spans="1:13" x14ac:dyDescent="0.35">
      <c r="A5" s="4">
        <v>44931</v>
      </c>
      <c r="B5" s="2">
        <v>449.03</v>
      </c>
      <c r="C5" s="2">
        <v>449.01</v>
      </c>
      <c r="D5" s="2">
        <v>449.53</v>
      </c>
      <c r="E5" s="2">
        <v>449.01</v>
      </c>
      <c r="F5" s="1">
        <v>1.1999999999999999E-3</v>
      </c>
      <c r="G5" s="2">
        <f t="shared" si="0"/>
        <v>2023</v>
      </c>
      <c r="H5" s="2" t="str">
        <f t="shared" si="1"/>
        <v>Jan</v>
      </c>
      <c r="I5" s="2">
        <f t="shared" si="2"/>
        <v>1</v>
      </c>
      <c r="J5" s="2" t="str">
        <f t="shared" si="3"/>
        <v>2023-01</v>
      </c>
      <c r="K5" s="2">
        <f t="shared" si="4"/>
        <v>1</v>
      </c>
      <c r="L5" s="2" t="e">
        <f ca="1">AVERAGE(OFFSET(USD_NGN_Historical_Data__17[[#This Row],[Rate]], -6, 0, 7, 1))</f>
        <v>#REF!</v>
      </c>
      <c r="M5" s="2" t="str">
        <f t="shared" si="5"/>
        <v>Thu</v>
      </c>
    </row>
    <row r="6" spans="1:13" x14ac:dyDescent="0.35">
      <c r="A6" s="4">
        <v>44932</v>
      </c>
      <c r="B6" s="2">
        <v>449.55</v>
      </c>
      <c r="C6" s="2">
        <v>449.53</v>
      </c>
      <c r="D6" s="2">
        <v>450.05</v>
      </c>
      <c r="E6" s="2">
        <v>449.53</v>
      </c>
      <c r="F6" s="1">
        <v>1.1999999999999999E-3</v>
      </c>
      <c r="G6" s="2">
        <f t="shared" si="0"/>
        <v>2023</v>
      </c>
      <c r="H6" s="2" t="str">
        <f t="shared" si="1"/>
        <v>Jan</v>
      </c>
      <c r="I6" s="2">
        <f t="shared" si="2"/>
        <v>1</v>
      </c>
      <c r="J6" s="2" t="str">
        <f t="shared" si="3"/>
        <v>2023-01</v>
      </c>
      <c r="K6" s="2">
        <f t="shared" si="4"/>
        <v>1</v>
      </c>
      <c r="L6" s="2" t="e">
        <f ca="1">AVERAGE(OFFSET(USD_NGN_Historical_Data__17[[#This Row],[Rate]], -6, 0, 7, 1))</f>
        <v>#REF!</v>
      </c>
      <c r="M6" s="2" t="str">
        <f t="shared" si="5"/>
        <v>Fri</v>
      </c>
    </row>
    <row r="7" spans="1:13" x14ac:dyDescent="0.35">
      <c r="A7" s="4">
        <v>44935</v>
      </c>
      <c r="B7" s="2">
        <v>449.55</v>
      </c>
      <c r="C7" s="2">
        <v>450.05</v>
      </c>
      <c r="D7" s="2">
        <v>450.08</v>
      </c>
      <c r="E7" s="2">
        <v>450.05</v>
      </c>
      <c r="F7" s="1">
        <v>0</v>
      </c>
      <c r="G7" s="2">
        <f t="shared" si="0"/>
        <v>2023</v>
      </c>
      <c r="H7" s="2" t="str">
        <f t="shared" si="1"/>
        <v>Jan</v>
      </c>
      <c r="I7" s="2">
        <f t="shared" si="2"/>
        <v>1</v>
      </c>
      <c r="J7" s="2" t="str">
        <f t="shared" si="3"/>
        <v>2023-01</v>
      </c>
      <c r="K7" s="2">
        <f t="shared" si="4"/>
        <v>2</v>
      </c>
      <c r="L7" s="2">
        <f ca="1">AVERAGE(OFFSET(USD_NGN_Historical_Data__17[[#This Row],[Rate]], -6, 0, 7, 1))</f>
        <v>448.71166666666664</v>
      </c>
      <c r="M7" s="2" t="str">
        <f t="shared" si="5"/>
        <v>Mon</v>
      </c>
    </row>
    <row r="8" spans="1:13" x14ac:dyDescent="0.35">
      <c r="A8" s="4">
        <v>44936</v>
      </c>
      <c r="B8" s="2">
        <v>449.58</v>
      </c>
      <c r="C8" s="2">
        <v>450.05</v>
      </c>
      <c r="D8" s="2">
        <v>450.08</v>
      </c>
      <c r="E8" s="2">
        <v>450.05</v>
      </c>
      <c r="F8" s="1">
        <v>1E-4</v>
      </c>
      <c r="G8" s="2">
        <f t="shared" si="0"/>
        <v>2023</v>
      </c>
      <c r="H8" s="2" t="str">
        <f t="shared" si="1"/>
        <v>Jan</v>
      </c>
      <c r="I8" s="2">
        <f t="shared" si="2"/>
        <v>1</v>
      </c>
      <c r="J8" s="2" t="str">
        <f t="shared" si="3"/>
        <v>2023-01</v>
      </c>
      <c r="K8" s="2">
        <f t="shared" si="4"/>
        <v>2</v>
      </c>
      <c r="L8" s="2">
        <f ca="1">AVERAGE(OFFSET(USD_NGN_Historical_Data__17[[#This Row],[Rate]], -6, 0, 7, 1))</f>
        <v>448.83571428571429</v>
      </c>
      <c r="M8" s="2" t="str">
        <f t="shared" si="5"/>
        <v>Tue</v>
      </c>
    </row>
    <row r="9" spans="1:13" x14ac:dyDescent="0.35">
      <c r="A9" s="4">
        <v>44937</v>
      </c>
      <c r="B9" s="2">
        <v>451.1</v>
      </c>
      <c r="C9" s="2">
        <v>450.08</v>
      </c>
      <c r="D9" s="2">
        <v>451.6</v>
      </c>
      <c r="E9" s="2">
        <v>450.08</v>
      </c>
      <c r="F9" s="1">
        <v>3.3999999999999998E-3</v>
      </c>
      <c r="G9" s="2">
        <f t="shared" si="0"/>
        <v>2023</v>
      </c>
      <c r="H9" s="2" t="str">
        <f t="shared" si="1"/>
        <v>Jan</v>
      </c>
      <c r="I9" s="2">
        <f t="shared" si="2"/>
        <v>1</v>
      </c>
      <c r="J9" s="2" t="str">
        <f t="shared" si="3"/>
        <v>2023-01</v>
      </c>
      <c r="K9" s="2">
        <f t="shared" si="4"/>
        <v>2</v>
      </c>
      <c r="L9" s="2">
        <f ca="1">AVERAGE(OFFSET(USD_NGN_Historical_Data__17[[#This Row],[Rate]], -6, 0, 7, 1))</f>
        <v>449.33857142857141</v>
      </c>
      <c r="M9" s="2" t="str">
        <f t="shared" si="5"/>
        <v>Wed</v>
      </c>
    </row>
    <row r="10" spans="1:13" x14ac:dyDescent="0.35">
      <c r="A10" s="4">
        <v>44938</v>
      </c>
      <c r="B10" s="2">
        <v>451.63</v>
      </c>
      <c r="C10" s="2">
        <v>451.6</v>
      </c>
      <c r="D10" s="2">
        <v>452.13</v>
      </c>
      <c r="E10" s="2">
        <v>451.6</v>
      </c>
      <c r="F10" s="1">
        <v>1.1999999999999999E-3</v>
      </c>
      <c r="G10" s="2">
        <f t="shared" si="0"/>
        <v>2023</v>
      </c>
      <c r="H10" s="2" t="str">
        <f t="shared" si="1"/>
        <v>Jan</v>
      </c>
      <c r="I10" s="2">
        <f t="shared" si="2"/>
        <v>1</v>
      </c>
      <c r="J10" s="2" t="str">
        <f t="shared" si="3"/>
        <v>2023-01</v>
      </c>
      <c r="K10" s="2">
        <f t="shared" si="4"/>
        <v>2</v>
      </c>
      <c r="L10" s="2">
        <f ca="1">AVERAGE(OFFSET(USD_NGN_Historical_Data__17[[#This Row],[Rate]], -6, 0, 7, 1))</f>
        <v>449.84999999999997</v>
      </c>
      <c r="M10" s="2" t="str">
        <f t="shared" si="5"/>
        <v>Thu</v>
      </c>
    </row>
    <row r="11" spans="1:13" x14ac:dyDescent="0.35">
      <c r="A11" s="4">
        <v>44939</v>
      </c>
      <c r="B11" s="2">
        <v>452.09</v>
      </c>
      <c r="C11" s="2">
        <v>452.13</v>
      </c>
      <c r="D11" s="2">
        <v>452.59</v>
      </c>
      <c r="E11" s="2">
        <v>452.13</v>
      </c>
      <c r="F11" s="1">
        <v>1E-3</v>
      </c>
      <c r="G11" s="2">
        <f t="shared" si="0"/>
        <v>2023</v>
      </c>
      <c r="H11" s="2" t="str">
        <f t="shared" si="1"/>
        <v>Jan</v>
      </c>
      <c r="I11" s="2">
        <f t="shared" si="2"/>
        <v>1</v>
      </c>
      <c r="J11" s="2" t="str">
        <f t="shared" si="3"/>
        <v>2023-01</v>
      </c>
      <c r="K11" s="2">
        <f t="shared" si="4"/>
        <v>2</v>
      </c>
      <c r="L11" s="2">
        <f ca="1">AVERAGE(OFFSET(USD_NGN_Historical_Data__17[[#This Row],[Rate]], -6, 0, 7, 1))</f>
        <v>450.36142857142858</v>
      </c>
      <c r="M11" s="2" t="str">
        <f t="shared" si="5"/>
        <v>Fri</v>
      </c>
    </row>
    <row r="12" spans="1:13" x14ac:dyDescent="0.35">
      <c r="A12" s="4">
        <v>44942</v>
      </c>
      <c r="B12" s="2">
        <v>452.12</v>
      </c>
      <c r="C12" s="2">
        <v>452.59</v>
      </c>
      <c r="D12" s="2">
        <v>460.5</v>
      </c>
      <c r="E12" s="2">
        <v>452.59</v>
      </c>
      <c r="F12" s="1">
        <v>1E-4</v>
      </c>
      <c r="G12" s="2">
        <f t="shared" si="0"/>
        <v>2023</v>
      </c>
      <c r="H12" s="2" t="str">
        <f t="shared" si="1"/>
        <v>Jan</v>
      </c>
      <c r="I12" s="2">
        <f t="shared" si="2"/>
        <v>1</v>
      </c>
      <c r="J12" s="2" t="str">
        <f t="shared" si="3"/>
        <v>2023-01</v>
      </c>
      <c r="K12" s="2">
        <f t="shared" si="4"/>
        <v>3</v>
      </c>
      <c r="L12" s="2">
        <f ca="1">AVERAGE(OFFSET(USD_NGN_Historical_Data__17[[#This Row],[Rate]], -6, 0, 7, 1))</f>
        <v>450.80285714285719</v>
      </c>
      <c r="M12" s="2" t="str">
        <f t="shared" si="5"/>
        <v>Mon</v>
      </c>
    </row>
    <row r="13" spans="1:13" x14ac:dyDescent="0.35">
      <c r="A13" s="4">
        <v>44943</v>
      </c>
      <c r="B13" s="2">
        <v>453.08</v>
      </c>
      <c r="C13" s="2">
        <v>452.62</v>
      </c>
      <c r="D13" s="2">
        <v>460.5</v>
      </c>
      <c r="E13" s="2">
        <v>452.62</v>
      </c>
      <c r="F13" s="1">
        <v>2.0999999999999999E-3</v>
      </c>
      <c r="G13" s="2">
        <f t="shared" si="0"/>
        <v>2023</v>
      </c>
      <c r="H13" s="2" t="str">
        <f t="shared" si="1"/>
        <v>Jan</v>
      </c>
      <c r="I13" s="2">
        <f t="shared" si="2"/>
        <v>1</v>
      </c>
      <c r="J13" s="2" t="str">
        <f t="shared" si="3"/>
        <v>2023-01</v>
      </c>
      <c r="K13" s="2">
        <f t="shared" si="4"/>
        <v>3</v>
      </c>
      <c r="L13" s="2">
        <f ca="1">AVERAGE(OFFSET(USD_NGN_Historical_Data__17[[#This Row],[Rate]], -6, 0, 7, 1))</f>
        <v>451.30714285714288</v>
      </c>
      <c r="M13" s="2" t="str">
        <f t="shared" si="5"/>
        <v>Tue</v>
      </c>
    </row>
    <row r="14" spans="1:13" x14ac:dyDescent="0.35">
      <c r="A14" s="4">
        <v>44944</v>
      </c>
      <c r="B14" s="2">
        <v>453.08</v>
      </c>
      <c r="C14" s="2">
        <v>453.58</v>
      </c>
      <c r="D14" s="2">
        <v>460.5</v>
      </c>
      <c r="E14" s="2">
        <v>453.58</v>
      </c>
      <c r="F14" s="1">
        <v>0</v>
      </c>
      <c r="G14" s="2">
        <f t="shared" si="0"/>
        <v>2023</v>
      </c>
      <c r="H14" s="2" t="str">
        <f t="shared" si="1"/>
        <v>Jan</v>
      </c>
      <c r="I14" s="2">
        <f t="shared" si="2"/>
        <v>1</v>
      </c>
      <c r="J14" s="2" t="str">
        <f t="shared" si="3"/>
        <v>2023-01</v>
      </c>
      <c r="K14" s="2">
        <f t="shared" si="4"/>
        <v>3</v>
      </c>
      <c r="L14" s="2">
        <f ca="1">AVERAGE(OFFSET(USD_NGN_Historical_Data__17[[#This Row],[Rate]], -6, 0, 7, 1))</f>
        <v>451.81142857142856</v>
      </c>
      <c r="M14" s="2" t="str">
        <f t="shared" si="5"/>
        <v>Wed</v>
      </c>
    </row>
    <row r="15" spans="1:13" x14ac:dyDescent="0.35">
      <c r="A15" s="4">
        <v>44945</v>
      </c>
      <c r="B15" s="2">
        <v>453.08</v>
      </c>
      <c r="C15" s="2">
        <v>453.58</v>
      </c>
      <c r="D15" s="2">
        <v>460.5</v>
      </c>
      <c r="E15" s="2">
        <v>453.58</v>
      </c>
      <c r="F15" s="1">
        <v>0</v>
      </c>
      <c r="G15" s="2">
        <f t="shared" si="0"/>
        <v>2023</v>
      </c>
      <c r="H15" s="2" t="str">
        <f t="shared" si="1"/>
        <v>Jan</v>
      </c>
      <c r="I15" s="2">
        <f t="shared" si="2"/>
        <v>1</v>
      </c>
      <c r="J15" s="2" t="str">
        <f t="shared" si="3"/>
        <v>2023-01</v>
      </c>
      <c r="K15" s="2">
        <f t="shared" si="4"/>
        <v>3</v>
      </c>
      <c r="L15" s="2">
        <f ca="1">AVERAGE(OFFSET(USD_NGN_Historical_Data__17[[#This Row],[Rate]], -6, 0, 7, 1))</f>
        <v>452.31142857142856</v>
      </c>
      <c r="M15" s="2" t="str">
        <f t="shared" si="5"/>
        <v>Thu</v>
      </c>
    </row>
    <row r="16" spans="1:13" x14ac:dyDescent="0.35">
      <c r="A16" s="4">
        <v>44946</v>
      </c>
      <c r="B16" s="2">
        <v>454.56</v>
      </c>
      <c r="C16" s="2">
        <v>453.58</v>
      </c>
      <c r="D16" s="2">
        <v>455.06</v>
      </c>
      <c r="E16" s="2">
        <v>453.58</v>
      </c>
      <c r="F16" s="1">
        <v>3.3E-3</v>
      </c>
      <c r="G16" s="2">
        <f t="shared" si="0"/>
        <v>2023</v>
      </c>
      <c r="H16" s="2" t="str">
        <f t="shared" si="1"/>
        <v>Jan</v>
      </c>
      <c r="I16" s="2">
        <f t="shared" si="2"/>
        <v>1</v>
      </c>
      <c r="J16" s="2" t="str">
        <f t="shared" si="3"/>
        <v>2023-01</v>
      </c>
      <c r="K16" s="2">
        <f t="shared" si="4"/>
        <v>3</v>
      </c>
      <c r="L16" s="2">
        <f ca="1">AVERAGE(OFFSET(USD_NGN_Historical_Data__17[[#This Row],[Rate]], -6, 0, 7, 1))</f>
        <v>452.80571428571426</v>
      </c>
      <c r="M16" s="2" t="str">
        <f t="shared" si="5"/>
        <v>Fri</v>
      </c>
    </row>
    <row r="17" spans="1:13" x14ac:dyDescent="0.35">
      <c r="A17" s="4">
        <v>44949</v>
      </c>
      <c r="B17" s="2">
        <v>454.56</v>
      </c>
      <c r="C17" s="2">
        <v>455.06</v>
      </c>
      <c r="D17" s="2">
        <v>460.5</v>
      </c>
      <c r="E17" s="2">
        <v>455.05</v>
      </c>
      <c r="F17" s="1">
        <v>0</v>
      </c>
      <c r="G17" s="2">
        <f t="shared" si="0"/>
        <v>2023</v>
      </c>
      <c r="H17" s="2" t="str">
        <f t="shared" si="1"/>
        <v>Jan</v>
      </c>
      <c r="I17" s="2">
        <f t="shared" si="2"/>
        <v>1</v>
      </c>
      <c r="J17" s="2" t="str">
        <f t="shared" si="3"/>
        <v>2023-01</v>
      </c>
      <c r="K17" s="2">
        <f t="shared" si="4"/>
        <v>4</v>
      </c>
      <c r="L17" s="2">
        <f ca="1">AVERAGE(OFFSET(USD_NGN_Historical_Data__17[[#This Row],[Rate]], -6, 0, 7, 1))</f>
        <v>453.22428571428566</v>
      </c>
      <c r="M17" s="2" t="str">
        <f t="shared" si="5"/>
        <v>Mon</v>
      </c>
    </row>
    <row r="18" spans="1:13" x14ac:dyDescent="0.35">
      <c r="A18" s="4">
        <v>44950</v>
      </c>
      <c r="B18" s="2">
        <v>459.31</v>
      </c>
      <c r="C18" s="2">
        <v>455.06</v>
      </c>
      <c r="D18" s="2">
        <v>459.81</v>
      </c>
      <c r="E18" s="2">
        <v>455.06</v>
      </c>
      <c r="F18" s="1">
        <v>1.04E-2</v>
      </c>
      <c r="G18" s="2">
        <f t="shared" si="0"/>
        <v>2023</v>
      </c>
      <c r="H18" s="2" t="str">
        <f t="shared" si="1"/>
        <v>Jan</v>
      </c>
      <c r="I18" s="2">
        <f t="shared" si="2"/>
        <v>1</v>
      </c>
      <c r="J18" s="2" t="str">
        <f t="shared" si="3"/>
        <v>2023-01</v>
      </c>
      <c r="K18" s="2">
        <f t="shared" si="4"/>
        <v>4</v>
      </c>
      <c r="L18" s="2">
        <f ca="1">AVERAGE(OFFSET(USD_NGN_Historical_Data__17[[#This Row],[Rate]], -6, 0, 7, 1))</f>
        <v>454.2557142857143</v>
      </c>
      <c r="M18" s="2" t="str">
        <f t="shared" si="5"/>
        <v>Tue</v>
      </c>
    </row>
    <row r="19" spans="1:13" x14ac:dyDescent="0.35">
      <c r="A19" s="4">
        <v>44951</v>
      </c>
      <c r="B19" s="2">
        <v>459.47</v>
      </c>
      <c r="C19" s="2">
        <v>459.81</v>
      </c>
      <c r="D19" s="2">
        <v>459.97</v>
      </c>
      <c r="E19" s="2">
        <v>459.8</v>
      </c>
      <c r="F19" s="1">
        <v>2.9999999999999997E-4</v>
      </c>
      <c r="G19" s="2">
        <f t="shared" si="0"/>
        <v>2023</v>
      </c>
      <c r="H19" s="2" t="str">
        <f t="shared" si="1"/>
        <v>Jan</v>
      </c>
      <c r="I19" s="2">
        <f t="shared" si="2"/>
        <v>1</v>
      </c>
      <c r="J19" s="2" t="str">
        <f t="shared" si="3"/>
        <v>2023-01</v>
      </c>
      <c r="K19" s="2">
        <f t="shared" si="4"/>
        <v>4</v>
      </c>
      <c r="L19" s="2">
        <f ca="1">AVERAGE(OFFSET(USD_NGN_Historical_Data__17[[#This Row],[Rate]], -6, 0, 7, 1))</f>
        <v>455.30571428571432</v>
      </c>
      <c r="M19" s="2" t="str">
        <f t="shared" si="5"/>
        <v>Wed</v>
      </c>
    </row>
    <row r="20" spans="1:13" x14ac:dyDescent="0.35">
      <c r="A20" s="4">
        <v>44952</v>
      </c>
      <c r="B20" s="2">
        <v>459.78</v>
      </c>
      <c r="C20" s="2">
        <v>459.97</v>
      </c>
      <c r="D20" s="2">
        <v>460.28</v>
      </c>
      <c r="E20" s="2">
        <v>459.97</v>
      </c>
      <c r="F20" s="1">
        <v>6.9999999999999999E-4</v>
      </c>
      <c r="G20" s="2">
        <f t="shared" si="0"/>
        <v>2023</v>
      </c>
      <c r="H20" s="2" t="str">
        <f t="shared" si="1"/>
        <v>Jan</v>
      </c>
      <c r="I20" s="2">
        <f t="shared" si="2"/>
        <v>1</v>
      </c>
      <c r="J20" s="2" t="str">
        <f t="shared" si="3"/>
        <v>2023-01</v>
      </c>
      <c r="K20" s="2">
        <f t="shared" si="4"/>
        <v>4</v>
      </c>
      <c r="L20" s="2">
        <f ca="1">AVERAGE(OFFSET(USD_NGN_Historical_Data__17[[#This Row],[Rate]], -6, 0, 7, 1))</f>
        <v>456.26285714285717</v>
      </c>
      <c r="M20" s="2" t="str">
        <f t="shared" si="5"/>
        <v>Thu</v>
      </c>
    </row>
    <row r="21" spans="1:13" x14ac:dyDescent="0.35">
      <c r="A21" s="4">
        <v>44953</v>
      </c>
      <c r="B21" s="2">
        <v>459.78</v>
      </c>
      <c r="C21" s="2">
        <v>460.28</v>
      </c>
      <c r="D21" s="2">
        <v>460.3</v>
      </c>
      <c r="E21" s="2">
        <v>460.28</v>
      </c>
      <c r="F21" s="1">
        <v>0</v>
      </c>
      <c r="G21" s="2">
        <f t="shared" si="0"/>
        <v>2023</v>
      </c>
      <c r="H21" s="2" t="str">
        <f t="shared" si="1"/>
        <v>Jan</v>
      </c>
      <c r="I21" s="2">
        <f t="shared" si="2"/>
        <v>1</v>
      </c>
      <c r="J21" s="2" t="str">
        <f t="shared" si="3"/>
        <v>2023-01</v>
      </c>
      <c r="K21" s="2">
        <f t="shared" si="4"/>
        <v>4</v>
      </c>
      <c r="L21" s="2">
        <f ca="1">AVERAGE(OFFSET(USD_NGN_Historical_Data__17[[#This Row],[Rate]], -6, 0, 7, 1))</f>
        <v>457.21999999999997</v>
      </c>
      <c r="M21" s="2" t="str">
        <f t="shared" si="5"/>
        <v>Fri</v>
      </c>
    </row>
    <row r="22" spans="1:13" x14ac:dyDescent="0.35">
      <c r="A22" s="4">
        <v>44956</v>
      </c>
      <c r="B22" s="2">
        <v>459.91</v>
      </c>
      <c r="C22" s="2">
        <v>460.28</v>
      </c>
      <c r="D22" s="2">
        <v>460.5</v>
      </c>
      <c r="E22" s="2">
        <v>460.28</v>
      </c>
      <c r="F22" s="1">
        <v>2.9999999999999997E-4</v>
      </c>
      <c r="G22" s="2">
        <f t="shared" si="0"/>
        <v>2023</v>
      </c>
      <c r="H22" s="2" t="str">
        <f t="shared" si="1"/>
        <v>Jan</v>
      </c>
      <c r="I22" s="2">
        <f t="shared" si="2"/>
        <v>1</v>
      </c>
      <c r="J22" s="2" t="str">
        <f t="shared" si="3"/>
        <v>2023-01</v>
      </c>
      <c r="K22" s="2">
        <f t="shared" si="4"/>
        <v>5</v>
      </c>
      <c r="L22" s="2">
        <f ca="1">AVERAGE(OFFSET(USD_NGN_Historical_Data__17[[#This Row],[Rate]], -6, 0, 7, 1))</f>
        <v>458.19571428571425</v>
      </c>
      <c r="M22" s="2" t="str">
        <f t="shared" si="5"/>
        <v>Mon</v>
      </c>
    </row>
    <row r="23" spans="1:13" x14ac:dyDescent="0.35">
      <c r="A23" s="4">
        <v>44957</v>
      </c>
      <c r="B23" s="2">
        <v>460.02</v>
      </c>
      <c r="C23" s="2">
        <v>460.41</v>
      </c>
      <c r="D23" s="2">
        <v>460.52</v>
      </c>
      <c r="E23" s="2">
        <v>460.41</v>
      </c>
      <c r="F23" s="1">
        <v>2.0000000000000001E-4</v>
      </c>
      <c r="G23" s="2">
        <f t="shared" si="0"/>
        <v>2023</v>
      </c>
      <c r="H23" s="2" t="str">
        <f t="shared" si="1"/>
        <v>Jan</v>
      </c>
      <c r="I23" s="2">
        <f t="shared" si="2"/>
        <v>1</v>
      </c>
      <c r="J23" s="2" t="str">
        <f t="shared" si="3"/>
        <v>2023-01</v>
      </c>
      <c r="K23" s="2">
        <f t="shared" si="4"/>
        <v>5</v>
      </c>
      <c r="L23" s="2">
        <f ca="1">AVERAGE(OFFSET(USD_NGN_Historical_Data__17[[#This Row],[Rate]], -6, 0, 7, 1))</f>
        <v>458.97571428571428</v>
      </c>
      <c r="M23" s="2" t="str">
        <f t="shared" si="5"/>
        <v>Tue</v>
      </c>
    </row>
    <row r="24" spans="1:13" x14ac:dyDescent="0.35">
      <c r="A24" s="4">
        <v>44958</v>
      </c>
      <c r="B24" s="2">
        <v>460.02</v>
      </c>
      <c r="C24" s="2">
        <v>460.52</v>
      </c>
      <c r="D24" s="2">
        <v>460.55</v>
      </c>
      <c r="E24" s="2">
        <v>460.5</v>
      </c>
      <c r="F24" s="1">
        <v>0</v>
      </c>
      <c r="G24" s="2">
        <f t="shared" si="0"/>
        <v>2023</v>
      </c>
      <c r="H24" s="2" t="str">
        <f t="shared" si="1"/>
        <v>Feb</v>
      </c>
      <c r="I24" s="2">
        <f t="shared" si="2"/>
        <v>2</v>
      </c>
      <c r="J24" s="2" t="str">
        <f t="shared" si="3"/>
        <v>2023-02</v>
      </c>
      <c r="K24" s="2">
        <f t="shared" si="4"/>
        <v>5</v>
      </c>
      <c r="L24" s="2">
        <f ca="1">AVERAGE(OFFSET(USD_NGN_Historical_Data__17[[#This Row],[Rate]], -6, 0, 7, 1))</f>
        <v>459.7557142857143</v>
      </c>
      <c r="M24" s="2" t="str">
        <f t="shared" si="5"/>
        <v>Wed</v>
      </c>
    </row>
    <row r="25" spans="1:13" x14ac:dyDescent="0.35">
      <c r="A25" s="4">
        <v>44959</v>
      </c>
      <c r="B25" s="2">
        <v>460.04</v>
      </c>
      <c r="C25" s="2">
        <v>460.52</v>
      </c>
      <c r="D25" s="2">
        <v>460.54</v>
      </c>
      <c r="E25" s="2">
        <v>460.52</v>
      </c>
      <c r="F25" s="1">
        <v>0</v>
      </c>
      <c r="G25" s="2">
        <f t="shared" si="0"/>
        <v>2023</v>
      </c>
      <c r="H25" s="2" t="str">
        <f t="shared" si="1"/>
        <v>Feb</v>
      </c>
      <c r="I25" s="2">
        <f t="shared" si="2"/>
        <v>2</v>
      </c>
      <c r="J25" s="2" t="str">
        <f t="shared" si="3"/>
        <v>2023-02</v>
      </c>
      <c r="K25" s="2">
        <f t="shared" si="4"/>
        <v>5</v>
      </c>
      <c r="L25" s="2">
        <f ca="1">AVERAGE(OFFSET(USD_NGN_Historical_Data__17[[#This Row],[Rate]], -6, 0, 7, 1))</f>
        <v>459.86</v>
      </c>
      <c r="M25" s="2" t="str">
        <f t="shared" si="5"/>
        <v>Thu</v>
      </c>
    </row>
    <row r="26" spans="1:13" x14ac:dyDescent="0.35">
      <c r="A26" s="4">
        <v>44960</v>
      </c>
      <c r="B26" s="2">
        <v>460.04</v>
      </c>
      <c r="C26" s="2">
        <v>460.54</v>
      </c>
      <c r="D26" s="2">
        <v>460.54</v>
      </c>
      <c r="E26" s="2">
        <v>460.53</v>
      </c>
      <c r="F26" s="1">
        <v>0</v>
      </c>
      <c r="G26" s="2">
        <f t="shared" si="0"/>
        <v>2023</v>
      </c>
      <c r="H26" s="2" t="str">
        <f t="shared" si="1"/>
        <v>Feb</v>
      </c>
      <c r="I26" s="2">
        <f t="shared" si="2"/>
        <v>2</v>
      </c>
      <c r="J26" s="2" t="str">
        <f t="shared" si="3"/>
        <v>2023-02</v>
      </c>
      <c r="K26" s="2">
        <f t="shared" si="4"/>
        <v>5</v>
      </c>
      <c r="L26" s="2">
        <f ca="1">AVERAGE(OFFSET(USD_NGN_Historical_Data__17[[#This Row],[Rate]], -6, 0, 7, 1))</f>
        <v>459.94142857142862</v>
      </c>
      <c r="M26" s="2" t="str">
        <f t="shared" si="5"/>
        <v>Fri</v>
      </c>
    </row>
    <row r="27" spans="1:13" x14ac:dyDescent="0.35">
      <c r="A27" s="4">
        <v>44963</v>
      </c>
      <c r="B27" s="2">
        <v>459.2</v>
      </c>
      <c r="C27" s="2">
        <v>460.54</v>
      </c>
      <c r="D27" s="2">
        <v>460.55</v>
      </c>
      <c r="E27" s="2">
        <v>459.7</v>
      </c>
      <c r="F27" s="1">
        <v>-1.8E-3</v>
      </c>
      <c r="G27" s="2">
        <f t="shared" si="0"/>
        <v>2023</v>
      </c>
      <c r="H27" s="2" t="str">
        <f t="shared" si="1"/>
        <v>Feb</v>
      </c>
      <c r="I27" s="2">
        <f t="shared" si="2"/>
        <v>2</v>
      </c>
      <c r="J27" s="2" t="str">
        <f t="shared" si="3"/>
        <v>2023-02</v>
      </c>
      <c r="K27" s="2">
        <f t="shared" si="4"/>
        <v>6</v>
      </c>
      <c r="L27" s="2">
        <f ca="1">AVERAGE(OFFSET(USD_NGN_Historical_Data__17[[#This Row],[Rate]], -6, 0, 7, 1))</f>
        <v>459.85857142857139</v>
      </c>
      <c r="M27" s="2" t="str">
        <f t="shared" si="5"/>
        <v>Mon</v>
      </c>
    </row>
    <row r="28" spans="1:13" x14ac:dyDescent="0.35">
      <c r="A28" s="4">
        <v>44964</v>
      </c>
      <c r="B28" s="2">
        <v>459.92</v>
      </c>
      <c r="C28" s="2">
        <v>459.7</v>
      </c>
      <c r="D28" s="2">
        <v>460.42</v>
      </c>
      <c r="E28" s="2">
        <v>459.7</v>
      </c>
      <c r="F28" s="1">
        <v>1.6000000000000001E-3</v>
      </c>
      <c r="G28" s="2">
        <f t="shared" si="0"/>
        <v>2023</v>
      </c>
      <c r="H28" s="2" t="str">
        <f t="shared" si="1"/>
        <v>Feb</v>
      </c>
      <c r="I28" s="2">
        <f t="shared" si="2"/>
        <v>2</v>
      </c>
      <c r="J28" s="2" t="str">
        <f t="shared" si="3"/>
        <v>2023-02</v>
      </c>
      <c r="K28" s="2">
        <f t="shared" si="4"/>
        <v>6</v>
      </c>
      <c r="L28" s="2">
        <f ca="1">AVERAGE(OFFSET(USD_NGN_Historical_Data__17[[#This Row],[Rate]], -6, 0, 7, 1))</f>
        <v>459.87857142857143</v>
      </c>
      <c r="M28" s="2" t="str">
        <f t="shared" si="5"/>
        <v>Tue</v>
      </c>
    </row>
    <row r="29" spans="1:13" x14ac:dyDescent="0.35">
      <c r="A29" s="4">
        <v>44965</v>
      </c>
      <c r="B29" s="2">
        <v>459.92</v>
      </c>
      <c r="C29" s="2">
        <v>460.42</v>
      </c>
      <c r="D29" s="2">
        <v>460.45</v>
      </c>
      <c r="E29" s="2">
        <v>460.42</v>
      </c>
      <c r="F29" s="1">
        <v>0</v>
      </c>
      <c r="G29" s="2">
        <f t="shared" si="0"/>
        <v>2023</v>
      </c>
      <c r="H29" s="2" t="str">
        <f t="shared" si="1"/>
        <v>Feb</v>
      </c>
      <c r="I29" s="2">
        <f t="shared" si="2"/>
        <v>2</v>
      </c>
      <c r="J29" s="2" t="str">
        <f t="shared" si="3"/>
        <v>2023-02</v>
      </c>
      <c r="K29" s="2">
        <f t="shared" si="4"/>
        <v>6</v>
      </c>
      <c r="L29" s="2">
        <f ca="1">AVERAGE(OFFSET(USD_NGN_Historical_Data__17[[#This Row],[Rate]], -6, 0, 7, 1))</f>
        <v>459.88</v>
      </c>
      <c r="M29" s="2" t="str">
        <f t="shared" si="5"/>
        <v>Wed</v>
      </c>
    </row>
    <row r="30" spans="1:13" x14ac:dyDescent="0.35">
      <c r="A30" s="4">
        <v>44966</v>
      </c>
      <c r="B30" s="2">
        <v>459.97</v>
      </c>
      <c r="C30" s="2">
        <v>460.42</v>
      </c>
      <c r="D30" s="2">
        <v>460.47</v>
      </c>
      <c r="E30" s="2">
        <v>460.4</v>
      </c>
      <c r="F30" s="1">
        <v>1E-4</v>
      </c>
      <c r="G30" s="2">
        <f t="shared" si="0"/>
        <v>2023</v>
      </c>
      <c r="H30" s="2" t="str">
        <f t="shared" si="1"/>
        <v>Feb</v>
      </c>
      <c r="I30" s="2">
        <f t="shared" si="2"/>
        <v>2</v>
      </c>
      <c r="J30" s="2" t="str">
        <f t="shared" si="3"/>
        <v>2023-02</v>
      </c>
      <c r="K30" s="2">
        <f t="shared" si="4"/>
        <v>6</v>
      </c>
      <c r="L30" s="2">
        <f ca="1">AVERAGE(OFFSET(USD_NGN_Historical_Data__17[[#This Row],[Rate]], -6, 0, 7, 1))</f>
        <v>459.87285714285707</v>
      </c>
      <c r="M30" s="2" t="str">
        <f t="shared" si="5"/>
        <v>Thu</v>
      </c>
    </row>
    <row r="31" spans="1:13" x14ac:dyDescent="0.35">
      <c r="A31" s="4">
        <v>44967</v>
      </c>
      <c r="B31" s="2">
        <v>458.99</v>
      </c>
      <c r="C31" s="2">
        <v>460.47</v>
      </c>
      <c r="D31" s="2">
        <v>460.47</v>
      </c>
      <c r="E31" s="2">
        <v>459.49</v>
      </c>
      <c r="F31" s="1">
        <v>-2.0999999999999999E-3</v>
      </c>
      <c r="G31" s="2">
        <f t="shared" si="0"/>
        <v>2023</v>
      </c>
      <c r="H31" s="2" t="str">
        <f t="shared" si="1"/>
        <v>Feb</v>
      </c>
      <c r="I31" s="2">
        <f t="shared" si="2"/>
        <v>2</v>
      </c>
      <c r="J31" s="2" t="str">
        <f t="shared" si="3"/>
        <v>2023-02</v>
      </c>
      <c r="K31" s="2">
        <f t="shared" si="4"/>
        <v>6</v>
      </c>
      <c r="L31" s="2">
        <f ca="1">AVERAGE(OFFSET(USD_NGN_Historical_Data__17[[#This Row],[Rate]], -6, 0, 7, 1))</f>
        <v>459.72571428571428</v>
      </c>
      <c r="M31" s="2" t="str">
        <f t="shared" si="5"/>
        <v>Fri</v>
      </c>
    </row>
    <row r="32" spans="1:13" x14ac:dyDescent="0.35">
      <c r="A32" s="4">
        <v>44970</v>
      </c>
      <c r="B32" s="2">
        <v>460.02</v>
      </c>
      <c r="C32" s="2">
        <v>459.49</v>
      </c>
      <c r="D32" s="2">
        <v>460.52</v>
      </c>
      <c r="E32" s="2">
        <v>459.49</v>
      </c>
      <c r="F32" s="1">
        <v>2.2000000000000001E-3</v>
      </c>
      <c r="G32" s="2">
        <f t="shared" si="0"/>
        <v>2023</v>
      </c>
      <c r="H32" s="2" t="str">
        <f t="shared" si="1"/>
        <v>Feb</v>
      </c>
      <c r="I32" s="2">
        <f t="shared" si="2"/>
        <v>2</v>
      </c>
      <c r="J32" s="2" t="str">
        <f t="shared" si="3"/>
        <v>2023-02</v>
      </c>
      <c r="K32" s="2">
        <f t="shared" si="4"/>
        <v>7</v>
      </c>
      <c r="L32" s="2">
        <f ca="1">AVERAGE(OFFSET(USD_NGN_Historical_Data__17[[#This Row],[Rate]], -6, 0, 7, 1))</f>
        <v>459.72285714285715</v>
      </c>
      <c r="M32" s="2" t="str">
        <f t="shared" si="5"/>
        <v>Mon</v>
      </c>
    </row>
    <row r="33" spans="1:13" x14ac:dyDescent="0.35">
      <c r="A33" s="4">
        <v>44971</v>
      </c>
      <c r="B33" s="2">
        <v>460.06</v>
      </c>
      <c r="C33" s="2">
        <v>460.52</v>
      </c>
      <c r="D33" s="2">
        <v>460.56</v>
      </c>
      <c r="E33" s="2">
        <v>460.52</v>
      </c>
      <c r="F33" s="1">
        <v>1E-4</v>
      </c>
      <c r="G33" s="2">
        <f t="shared" si="0"/>
        <v>2023</v>
      </c>
      <c r="H33" s="2" t="str">
        <f t="shared" si="1"/>
        <v>Feb</v>
      </c>
      <c r="I33" s="2">
        <f t="shared" si="2"/>
        <v>2</v>
      </c>
      <c r="J33" s="2" t="str">
        <f t="shared" si="3"/>
        <v>2023-02</v>
      </c>
      <c r="K33" s="2">
        <f t="shared" si="4"/>
        <v>7</v>
      </c>
      <c r="L33" s="2">
        <f ca="1">AVERAGE(OFFSET(USD_NGN_Historical_Data__17[[#This Row],[Rate]], -6, 0, 7, 1))</f>
        <v>459.72571428571428</v>
      </c>
      <c r="M33" s="2" t="str">
        <f t="shared" si="5"/>
        <v>Tue</v>
      </c>
    </row>
    <row r="34" spans="1:13" x14ac:dyDescent="0.35">
      <c r="A34" s="4">
        <v>44972</v>
      </c>
      <c r="B34" s="2">
        <v>460.06</v>
      </c>
      <c r="C34" s="2">
        <v>460.56</v>
      </c>
      <c r="D34" s="2">
        <v>460.6</v>
      </c>
      <c r="E34" s="2">
        <v>460.5</v>
      </c>
      <c r="F34" s="1">
        <v>0</v>
      </c>
      <c r="G34" s="2">
        <f t="shared" si="0"/>
        <v>2023</v>
      </c>
      <c r="H34" s="2" t="str">
        <f t="shared" si="1"/>
        <v>Feb</v>
      </c>
      <c r="I34" s="2">
        <f t="shared" si="2"/>
        <v>2</v>
      </c>
      <c r="J34" s="2" t="str">
        <f t="shared" si="3"/>
        <v>2023-02</v>
      </c>
      <c r="K34" s="2">
        <f t="shared" si="4"/>
        <v>7</v>
      </c>
      <c r="L34" s="2">
        <f ca="1">AVERAGE(OFFSET(USD_NGN_Historical_Data__17[[#This Row],[Rate]], -6, 0, 7, 1))</f>
        <v>459.84857142857135</v>
      </c>
      <c r="M34" s="2" t="str">
        <f t="shared" si="5"/>
        <v>Wed</v>
      </c>
    </row>
    <row r="35" spans="1:13" x14ac:dyDescent="0.35">
      <c r="A35" s="4">
        <v>44973</v>
      </c>
      <c r="B35" s="2">
        <v>460.05</v>
      </c>
      <c r="C35" s="2">
        <v>460.56</v>
      </c>
      <c r="D35" s="2">
        <v>460.56</v>
      </c>
      <c r="E35" s="2">
        <v>460.5</v>
      </c>
      <c r="F35" s="1">
        <v>0</v>
      </c>
      <c r="G35" s="2">
        <f t="shared" si="0"/>
        <v>2023</v>
      </c>
      <c r="H35" s="2" t="str">
        <f t="shared" si="1"/>
        <v>Feb</v>
      </c>
      <c r="I35" s="2">
        <f t="shared" si="2"/>
        <v>2</v>
      </c>
      <c r="J35" s="2" t="str">
        <f t="shared" si="3"/>
        <v>2023-02</v>
      </c>
      <c r="K35" s="2">
        <f t="shared" si="4"/>
        <v>7</v>
      </c>
      <c r="L35" s="2">
        <f ca="1">AVERAGE(OFFSET(USD_NGN_Historical_Data__17[[#This Row],[Rate]], -6, 0, 7, 1))</f>
        <v>459.86714285714288</v>
      </c>
      <c r="M35" s="2" t="str">
        <f t="shared" si="5"/>
        <v>Thu</v>
      </c>
    </row>
    <row r="36" spans="1:13" x14ac:dyDescent="0.35">
      <c r="A36" s="4">
        <v>44974</v>
      </c>
      <c r="B36" s="2">
        <v>460.04</v>
      </c>
      <c r="C36" s="2">
        <v>460.55</v>
      </c>
      <c r="D36" s="2">
        <v>460.56</v>
      </c>
      <c r="E36" s="2">
        <v>460.5</v>
      </c>
      <c r="F36" s="1">
        <v>0</v>
      </c>
      <c r="G36" s="2">
        <f t="shared" si="0"/>
        <v>2023</v>
      </c>
      <c r="H36" s="2" t="str">
        <f t="shared" si="1"/>
        <v>Feb</v>
      </c>
      <c r="I36" s="2">
        <f t="shared" si="2"/>
        <v>2</v>
      </c>
      <c r="J36" s="2" t="str">
        <f t="shared" si="3"/>
        <v>2023-02</v>
      </c>
      <c r="K36" s="2">
        <f t="shared" si="4"/>
        <v>7</v>
      </c>
      <c r="L36" s="2">
        <f ca="1">AVERAGE(OFFSET(USD_NGN_Historical_Data__17[[#This Row],[Rate]], -6, 0, 7, 1))</f>
        <v>459.88428571428574</v>
      </c>
      <c r="M36" s="2" t="str">
        <f t="shared" si="5"/>
        <v>Fri</v>
      </c>
    </row>
    <row r="37" spans="1:13" x14ac:dyDescent="0.35">
      <c r="A37" s="4">
        <v>44977</v>
      </c>
      <c r="B37" s="2">
        <v>460.05</v>
      </c>
      <c r="C37" s="2">
        <v>460.54</v>
      </c>
      <c r="D37" s="2">
        <v>460.55</v>
      </c>
      <c r="E37" s="2">
        <v>460.5</v>
      </c>
      <c r="F37" s="1">
        <v>0</v>
      </c>
      <c r="G37" s="2">
        <f t="shared" si="0"/>
        <v>2023</v>
      </c>
      <c r="H37" s="2" t="str">
        <f t="shared" si="1"/>
        <v>Feb</v>
      </c>
      <c r="I37" s="2">
        <f t="shared" si="2"/>
        <v>2</v>
      </c>
      <c r="J37" s="2" t="str">
        <f t="shared" si="3"/>
        <v>2023-02</v>
      </c>
      <c r="K37" s="2">
        <f t="shared" si="4"/>
        <v>8</v>
      </c>
      <c r="L37" s="2">
        <f ca="1">AVERAGE(OFFSET(USD_NGN_Historical_Data__17[[#This Row],[Rate]], -6, 0, 7, 1))</f>
        <v>459.89571428571429</v>
      </c>
      <c r="M37" s="2" t="str">
        <f t="shared" si="5"/>
        <v>Mon</v>
      </c>
    </row>
    <row r="38" spans="1:13" x14ac:dyDescent="0.35">
      <c r="A38" s="4">
        <v>44978</v>
      </c>
      <c r="B38" s="2">
        <v>459.97</v>
      </c>
      <c r="C38" s="2">
        <v>460.55</v>
      </c>
      <c r="D38" s="2">
        <v>460.55</v>
      </c>
      <c r="E38" s="2">
        <v>460.47</v>
      </c>
      <c r="F38" s="1">
        <v>-2.0000000000000001E-4</v>
      </c>
      <c r="G38" s="2">
        <f t="shared" si="0"/>
        <v>2023</v>
      </c>
      <c r="H38" s="2" t="str">
        <f t="shared" si="1"/>
        <v>Feb</v>
      </c>
      <c r="I38" s="2">
        <f t="shared" si="2"/>
        <v>2</v>
      </c>
      <c r="J38" s="2" t="str">
        <f t="shared" si="3"/>
        <v>2023-02</v>
      </c>
      <c r="K38" s="2">
        <f t="shared" si="4"/>
        <v>8</v>
      </c>
      <c r="L38" s="2">
        <f ca="1">AVERAGE(OFFSET(USD_NGN_Historical_Data__17[[#This Row],[Rate]], -6, 0, 7, 1))</f>
        <v>460.03571428571428</v>
      </c>
      <c r="M38" s="2" t="str">
        <f t="shared" si="5"/>
        <v>Tue</v>
      </c>
    </row>
    <row r="39" spans="1:13" x14ac:dyDescent="0.35">
      <c r="A39" s="4">
        <v>44979</v>
      </c>
      <c r="B39" s="2">
        <v>459.97</v>
      </c>
      <c r="C39" s="2">
        <v>460.47</v>
      </c>
      <c r="D39" s="2">
        <v>460.47</v>
      </c>
      <c r="E39" s="2">
        <v>460.45</v>
      </c>
      <c r="F39" s="1">
        <v>0</v>
      </c>
      <c r="G39" s="2">
        <f t="shared" si="0"/>
        <v>2023</v>
      </c>
      <c r="H39" s="2" t="str">
        <f t="shared" si="1"/>
        <v>Feb</v>
      </c>
      <c r="I39" s="2">
        <f t="shared" si="2"/>
        <v>2</v>
      </c>
      <c r="J39" s="2" t="str">
        <f t="shared" si="3"/>
        <v>2023-02</v>
      </c>
      <c r="K39" s="2">
        <f t="shared" si="4"/>
        <v>8</v>
      </c>
      <c r="L39" s="2">
        <f ca="1">AVERAGE(OFFSET(USD_NGN_Historical_Data__17[[#This Row],[Rate]], -6, 0, 7, 1))</f>
        <v>460.02857142857152</v>
      </c>
      <c r="M39" s="2" t="str">
        <f t="shared" si="5"/>
        <v>Wed</v>
      </c>
    </row>
    <row r="40" spans="1:13" x14ac:dyDescent="0.35">
      <c r="A40" s="4">
        <v>44980</v>
      </c>
      <c r="B40" s="2">
        <v>459.94</v>
      </c>
      <c r="C40" s="2">
        <v>460.47</v>
      </c>
      <c r="D40" s="2">
        <v>460.47</v>
      </c>
      <c r="E40" s="2">
        <v>460.44</v>
      </c>
      <c r="F40" s="1">
        <v>-1E-4</v>
      </c>
      <c r="G40" s="2">
        <f t="shared" si="0"/>
        <v>2023</v>
      </c>
      <c r="H40" s="2" t="str">
        <f t="shared" si="1"/>
        <v>Feb</v>
      </c>
      <c r="I40" s="2">
        <f t="shared" si="2"/>
        <v>2</v>
      </c>
      <c r="J40" s="2" t="str">
        <f t="shared" si="3"/>
        <v>2023-02</v>
      </c>
      <c r="K40" s="2">
        <f t="shared" si="4"/>
        <v>8</v>
      </c>
      <c r="L40" s="2">
        <f ca="1">AVERAGE(OFFSET(USD_NGN_Historical_Data__17[[#This Row],[Rate]], -6, 0, 7, 1))</f>
        <v>460.01142857142861</v>
      </c>
      <c r="M40" s="2" t="str">
        <f t="shared" si="5"/>
        <v>Thu</v>
      </c>
    </row>
    <row r="41" spans="1:13" x14ac:dyDescent="0.35">
      <c r="A41" s="4">
        <v>44981</v>
      </c>
      <c r="B41" s="2">
        <v>459.94</v>
      </c>
      <c r="C41" s="2">
        <v>460.44</v>
      </c>
      <c r="D41" s="2">
        <v>460.44</v>
      </c>
      <c r="E41" s="2">
        <v>460.43</v>
      </c>
      <c r="F41" s="1">
        <v>0</v>
      </c>
      <c r="G41" s="2">
        <f t="shared" si="0"/>
        <v>2023</v>
      </c>
      <c r="H41" s="2" t="str">
        <f t="shared" si="1"/>
        <v>Feb</v>
      </c>
      <c r="I41" s="2">
        <f t="shared" si="2"/>
        <v>2</v>
      </c>
      <c r="J41" s="2" t="str">
        <f t="shared" si="3"/>
        <v>2023-02</v>
      </c>
      <c r="K41" s="2">
        <f t="shared" si="4"/>
        <v>8</v>
      </c>
      <c r="L41" s="2">
        <f ca="1">AVERAGE(OFFSET(USD_NGN_Historical_Data__17[[#This Row],[Rate]], -6, 0, 7, 1))</f>
        <v>459.9942857142857</v>
      </c>
      <c r="M41" s="2" t="str">
        <f t="shared" si="5"/>
        <v>Fri</v>
      </c>
    </row>
    <row r="42" spans="1:13" x14ac:dyDescent="0.35">
      <c r="A42" s="4">
        <v>44984</v>
      </c>
      <c r="B42" s="2">
        <v>459.95</v>
      </c>
      <c r="C42" s="2">
        <v>460.44</v>
      </c>
      <c r="D42" s="2">
        <v>460.45</v>
      </c>
      <c r="E42" s="2">
        <v>460.43</v>
      </c>
      <c r="F42" s="1">
        <v>0</v>
      </c>
      <c r="G42" s="2">
        <f t="shared" si="0"/>
        <v>2023</v>
      </c>
      <c r="H42" s="2" t="str">
        <f t="shared" si="1"/>
        <v>Feb</v>
      </c>
      <c r="I42" s="2">
        <f t="shared" si="2"/>
        <v>2</v>
      </c>
      <c r="J42" s="2" t="str">
        <f t="shared" si="3"/>
        <v>2023-02</v>
      </c>
      <c r="K42" s="2">
        <f t="shared" si="4"/>
        <v>9</v>
      </c>
      <c r="L42" s="2">
        <f ca="1">AVERAGE(OFFSET(USD_NGN_Historical_Data__17[[#This Row],[Rate]], -6, 0, 7, 1))</f>
        <v>459.97999999999996</v>
      </c>
      <c r="M42" s="2" t="str">
        <f t="shared" si="5"/>
        <v>Mon</v>
      </c>
    </row>
    <row r="43" spans="1:13" x14ac:dyDescent="0.35">
      <c r="A43" s="4">
        <v>44985</v>
      </c>
      <c r="B43" s="2">
        <v>459.97</v>
      </c>
      <c r="C43" s="2">
        <v>460.45</v>
      </c>
      <c r="D43" s="2">
        <v>460.47</v>
      </c>
      <c r="E43" s="2">
        <v>460.44</v>
      </c>
      <c r="F43" s="1">
        <v>0</v>
      </c>
      <c r="G43" s="2">
        <f t="shared" si="0"/>
        <v>2023</v>
      </c>
      <c r="H43" s="2" t="str">
        <f t="shared" si="1"/>
        <v>Feb</v>
      </c>
      <c r="I43" s="2">
        <f t="shared" si="2"/>
        <v>2</v>
      </c>
      <c r="J43" s="2" t="str">
        <f t="shared" si="3"/>
        <v>2023-02</v>
      </c>
      <c r="K43" s="2">
        <f t="shared" si="4"/>
        <v>9</v>
      </c>
      <c r="L43" s="2">
        <f ca="1">AVERAGE(OFFSET(USD_NGN_Historical_Data__17[[#This Row],[Rate]], -6, 0, 7, 1))</f>
        <v>459.96999999999997</v>
      </c>
      <c r="M43" s="2" t="str">
        <f t="shared" si="5"/>
        <v>Tue</v>
      </c>
    </row>
    <row r="44" spans="1:13" x14ac:dyDescent="0.35">
      <c r="A44" s="4">
        <v>44986</v>
      </c>
      <c r="B44" s="2">
        <v>459.97</v>
      </c>
      <c r="C44" s="2">
        <v>460.47</v>
      </c>
      <c r="D44" s="2">
        <v>460.47</v>
      </c>
      <c r="E44" s="2">
        <v>460.46</v>
      </c>
      <c r="F44" s="1">
        <v>0</v>
      </c>
      <c r="G44" s="2">
        <f t="shared" si="0"/>
        <v>2023</v>
      </c>
      <c r="H44" s="2" t="str">
        <f t="shared" si="1"/>
        <v>Mar</v>
      </c>
      <c r="I44" s="2">
        <f t="shared" si="2"/>
        <v>3</v>
      </c>
      <c r="J44" s="2" t="str">
        <f t="shared" si="3"/>
        <v>2023-03</v>
      </c>
      <c r="K44" s="2">
        <f t="shared" si="4"/>
        <v>9</v>
      </c>
      <c r="L44" s="2">
        <f ca="1">AVERAGE(OFFSET(USD_NGN_Historical_Data__17[[#This Row],[Rate]], -6, 0, 7, 1))</f>
        <v>459.95857142857142</v>
      </c>
      <c r="M44" s="2" t="str">
        <f t="shared" si="5"/>
        <v>Wed</v>
      </c>
    </row>
    <row r="45" spans="1:13" x14ac:dyDescent="0.35">
      <c r="A45" s="4">
        <v>44987</v>
      </c>
      <c r="B45" s="2">
        <v>459.97</v>
      </c>
      <c r="C45" s="2">
        <v>460.47</v>
      </c>
      <c r="D45" s="2">
        <v>460.47</v>
      </c>
      <c r="E45" s="2">
        <v>460.45</v>
      </c>
      <c r="F45" s="1">
        <v>0</v>
      </c>
      <c r="G45" s="2">
        <f t="shared" si="0"/>
        <v>2023</v>
      </c>
      <c r="H45" s="2" t="str">
        <f t="shared" si="1"/>
        <v>Mar</v>
      </c>
      <c r="I45" s="2">
        <f t="shared" si="2"/>
        <v>3</v>
      </c>
      <c r="J45" s="2" t="str">
        <f t="shared" si="3"/>
        <v>2023-03</v>
      </c>
      <c r="K45" s="2">
        <f t="shared" si="4"/>
        <v>9</v>
      </c>
      <c r="L45" s="2">
        <f ca="1">AVERAGE(OFFSET(USD_NGN_Historical_Data__17[[#This Row],[Rate]], -6, 0, 7, 1))</f>
        <v>459.95857142857159</v>
      </c>
      <c r="M45" s="2" t="str">
        <f t="shared" si="5"/>
        <v>Thu</v>
      </c>
    </row>
    <row r="46" spans="1:13" x14ac:dyDescent="0.35">
      <c r="A46" s="4">
        <v>44988</v>
      </c>
      <c r="B46" s="2">
        <v>459.96</v>
      </c>
      <c r="C46" s="2">
        <v>460.47</v>
      </c>
      <c r="D46" s="2">
        <v>460.48</v>
      </c>
      <c r="E46" s="2">
        <v>460.46</v>
      </c>
      <c r="F46" s="1">
        <v>0</v>
      </c>
      <c r="G46" s="2">
        <f t="shared" si="0"/>
        <v>2023</v>
      </c>
      <c r="H46" s="2" t="str">
        <f t="shared" si="1"/>
        <v>Mar</v>
      </c>
      <c r="I46" s="2">
        <f t="shared" si="2"/>
        <v>3</v>
      </c>
      <c r="J46" s="2" t="str">
        <f t="shared" si="3"/>
        <v>2023-03</v>
      </c>
      <c r="K46" s="2">
        <f t="shared" si="4"/>
        <v>9</v>
      </c>
      <c r="L46" s="2">
        <f ca="1">AVERAGE(OFFSET(USD_NGN_Historical_Data__17[[#This Row],[Rate]], -6, 0, 7, 1))</f>
        <v>459.95714285714286</v>
      </c>
      <c r="M46" s="2" t="str">
        <f t="shared" si="5"/>
        <v>Fri</v>
      </c>
    </row>
    <row r="47" spans="1:13" x14ac:dyDescent="0.35">
      <c r="A47" s="4">
        <v>44991</v>
      </c>
      <c r="B47" s="2">
        <v>459.96</v>
      </c>
      <c r="C47" s="2">
        <v>460.46</v>
      </c>
      <c r="D47" s="2">
        <v>460.46</v>
      </c>
      <c r="E47" s="2">
        <v>460.45</v>
      </c>
      <c r="F47" s="1">
        <v>0</v>
      </c>
      <c r="G47" s="2">
        <f t="shared" si="0"/>
        <v>2023</v>
      </c>
      <c r="H47" s="2" t="str">
        <f t="shared" si="1"/>
        <v>Mar</v>
      </c>
      <c r="I47" s="2">
        <f t="shared" si="2"/>
        <v>3</v>
      </c>
      <c r="J47" s="2" t="str">
        <f t="shared" si="3"/>
        <v>2023-03</v>
      </c>
      <c r="K47" s="2">
        <f t="shared" si="4"/>
        <v>10</v>
      </c>
      <c r="L47" s="2">
        <f ca="1">AVERAGE(OFFSET(USD_NGN_Historical_Data__17[[#This Row],[Rate]], -6, 0, 7, 1))</f>
        <v>459.96000000000004</v>
      </c>
      <c r="M47" s="2" t="str">
        <f t="shared" si="5"/>
        <v>Mon</v>
      </c>
    </row>
    <row r="48" spans="1:13" x14ac:dyDescent="0.35">
      <c r="A48" s="4">
        <v>44992</v>
      </c>
      <c r="B48" s="2">
        <v>459.96</v>
      </c>
      <c r="C48" s="2">
        <v>460.46</v>
      </c>
      <c r="D48" s="2">
        <v>460.47</v>
      </c>
      <c r="E48" s="2">
        <v>460.46</v>
      </c>
      <c r="F48" s="1">
        <v>0</v>
      </c>
      <c r="G48" s="2">
        <f t="shared" si="0"/>
        <v>2023</v>
      </c>
      <c r="H48" s="2" t="str">
        <f t="shared" si="1"/>
        <v>Mar</v>
      </c>
      <c r="I48" s="2">
        <f t="shared" si="2"/>
        <v>3</v>
      </c>
      <c r="J48" s="2" t="str">
        <f t="shared" si="3"/>
        <v>2023-03</v>
      </c>
      <c r="K48" s="2">
        <f t="shared" si="4"/>
        <v>10</v>
      </c>
      <c r="L48" s="2">
        <f ca="1">AVERAGE(OFFSET(USD_NGN_Historical_Data__17[[#This Row],[Rate]], -6, 0, 7, 1))</f>
        <v>459.96285714285716</v>
      </c>
      <c r="M48" s="2" t="str">
        <f t="shared" si="5"/>
        <v>Tue</v>
      </c>
    </row>
    <row r="49" spans="1:13" x14ac:dyDescent="0.35">
      <c r="A49" s="4">
        <v>44993</v>
      </c>
      <c r="B49" s="2">
        <v>459.99</v>
      </c>
      <c r="C49" s="2">
        <v>460.46</v>
      </c>
      <c r="D49" s="2">
        <v>460.49</v>
      </c>
      <c r="E49" s="2">
        <v>460.45</v>
      </c>
      <c r="F49" s="1">
        <v>1E-4</v>
      </c>
      <c r="G49" s="2">
        <f t="shared" si="0"/>
        <v>2023</v>
      </c>
      <c r="H49" s="2" t="str">
        <f t="shared" si="1"/>
        <v>Mar</v>
      </c>
      <c r="I49" s="2">
        <f t="shared" si="2"/>
        <v>3</v>
      </c>
      <c r="J49" s="2" t="str">
        <f t="shared" si="3"/>
        <v>2023-03</v>
      </c>
      <c r="K49" s="2">
        <f t="shared" si="4"/>
        <v>10</v>
      </c>
      <c r="L49" s="2">
        <f ca="1">AVERAGE(OFFSET(USD_NGN_Historical_Data__17[[#This Row],[Rate]], -6, 0, 7, 1))</f>
        <v>459.96857142857141</v>
      </c>
      <c r="M49" s="2" t="str">
        <f t="shared" si="5"/>
        <v>Wed</v>
      </c>
    </row>
    <row r="50" spans="1:13" x14ac:dyDescent="0.35">
      <c r="A50" s="4">
        <v>44994</v>
      </c>
      <c r="B50" s="2">
        <v>460.02</v>
      </c>
      <c r="C50" s="2">
        <v>460.49</v>
      </c>
      <c r="D50" s="2">
        <v>460.52</v>
      </c>
      <c r="E50" s="2">
        <v>460.48</v>
      </c>
      <c r="F50" s="1">
        <v>1E-4</v>
      </c>
      <c r="G50" s="2">
        <f t="shared" si="0"/>
        <v>2023</v>
      </c>
      <c r="H50" s="2" t="str">
        <f t="shared" si="1"/>
        <v>Mar</v>
      </c>
      <c r="I50" s="2">
        <f t="shared" si="2"/>
        <v>3</v>
      </c>
      <c r="J50" s="2" t="str">
        <f t="shared" si="3"/>
        <v>2023-03</v>
      </c>
      <c r="K50" s="2">
        <f t="shared" si="4"/>
        <v>10</v>
      </c>
      <c r="L50" s="2">
        <f ca="1">AVERAGE(OFFSET(USD_NGN_Historical_Data__17[[#This Row],[Rate]], -6, 0, 7, 1))</f>
        <v>459.97571428571433</v>
      </c>
      <c r="M50" s="2" t="str">
        <f t="shared" si="5"/>
        <v>Thu</v>
      </c>
    </row>
    <row r="51" spans="1:13" x14ac:dyDescent="0.35">
      <c r="A51" s="4">
        <v>44995</v>
      </c>
      <c r="B51" s="2">
        <v>460.02</v>
      </c>
      <c r="C51" s="2">
        <v>460.52</v>
      </c>
      <c r="D51" s="2">
        <v>460.55</v>
      </c>
      <c r="E51" s="2">
        <v>460.52</v>
      </c>
      <c r="F51" s="1">
        <v>0</v>
      </c>
      <c r="G51" s="2">
        <f t="shared" si="0"/>
        <v>2023</v>
      </c>
      <c r="H51" s="2" t="str">
        <f t="shared" si="1"/>
        <v>Mar</v>
      </c>
      <c r="I51" s="2">
        <f t="shared" si="2"/>
        <v>3</v>
      </c>
      <c r="J51" s="2" t="str">
        <f t="shared" si="3"/>
        <v>2023-03</v>
      </c>
      <c r="K51" s="2">
        <f t="shared" si="4"/>
        <v>10</v>
      </c>
      <c r="L51" s="2">
        <f ca="1">AVERAGE(OFFSET(USD_NGN_Historical_Data__17[[#This Row],[Rate]], -6, 0, 7, 1))</f>
        <v>459.98285714285714</v>
      </c>
      <c r="M51" s="2" t="str">
        <f t="shared" si="5"/>
        <v>Fri</v>
      </c>
    </row>
    <row r="52" spans="1:13" x14ac:dyDescent="0.35">
      <c r="A52" s="4">
        <v>44998</v>
      </c>
      <c r="B52" s="2">
        <v>460.02</v>
      </c>
      <c r="C52" s="2">
        <v>460.52</v>
      </c>
      <c r="D52" s="2">
        <v>460.53</v>
      </c>
      <c r="E52" s="2">
        <v>460.52</v>
      </c>
      <c r="F52" s="1">
        <v>0</v>
      </c>
      <c r="G52" s="2">
        <f t="shared" si="0"/>
        <v>2023</v>
      </c>
      <c r="H52" s="2" t="str">
        <f t="shared" si="1"/>
        <v>Mar</v>
      </c>
      <c r="I52" s="2">
        <f t="shared" si="2"/>
        <v>3</v>
      </c>
      <c r="J52" s="2" t="str">
        <f t="shared" si="3"/>
        <v>2023-03</v>
      </c>
      <c r="K52" s="2">
        <f t="shared" si="4"/>
        <v>11</v>
      </c>
      <c r="L52" s="2">
        <f ca="1">AVERAGE(OFFSET(USD_NGN_Historical_Data__17[[#This Row],[Rate]], -6, 0, 7, 1))</f>
        <v>459.98999999999995</v>
      </c>
      <c r="M52" s="2" t="str">
        <f t="shared" si="5"/>
        <v>Mon</v>
      </c>
    </row>
    <row r="53" spans="1:13" x14ac:dyDescent="0.35">
      <c r="A53" s="4">
        <v>44999</v>
      </c>
      <c r="B53" s="2">
        <v>460.03</v>
      </c>
      <c r="C53" s="2">
        <v>460.52</v>
      </c>
      <c r="D53" s="2">
        <v>460.53</v>
      </c>
      <c r="E53" s="2">
        <v>460.52</v>
      </c>
      <c r="F53" s="1">
        <v>0</v>
      </c>
      <c r="G53" s="2">
        <f t="shared" si="0"/>
        <v>2023</v>
      </c>
      <c r="H53" s="2" t="str">
        <f t="shared" si="1"/>
        <v>Mar</v>
      </c>
      <c r="I53" s="2">
        <f t="shared" si="2"/>
        <v>3</v>
      </c>
      <c r="J53" s="2" t="str">
        <f t="shared" si="3"/>
        <v>2023-03</v>
      </c>
      <c r="K53" s="2">
        <f t="shared" si="4"/>
        <v>11</v>
      </c>
      <c r="L53" s="2">
        <f ca="1">AVERAGE(OFFSET(USD_NGN_Historical_Data__17[[#This Row],[Rate]], -6, 0, 7, 1))</f>
        <v>460</v>
      </c>
      <c r="M53" s="2" t="str">
        <f t="shared" si="5"/>
        <v>Tue</v>
      </c>
    </row>
    <row r="54" spans="1:13" x14ac:dyDescent="0.35">
      <c r="A54" s="4">
        <v>45000</v>
      </c>
      <c r="B54" s="2">
        <v>460.04</v>
      </c>
      <c r="C54" s="2">
        <v>460.53</v>
      </c>
      <c r="D54" s="2">
        <v>460.54</v>
      </c>
      <c r="E54" s="2">
        <v>460.53</v>
      </c>
      <c r="F54" s="1">
        <v>0</v>
      </c>
      <c r="G54" s="2">
        <f t="shared" si="0"/>
        <v>2023</v>
      </c>
      <c r="H54" s="2" t="str">
        <f t="shared" si="1"/>
        <v>Mar</v>
      </c>
      <c r="I54" s="2">
        <f t="shared" si="2"/>
        <v>3</v>
      </c>
      <c r="J54" s="2" t="str">
        <f t="shared" si="3"/>
        <v>2023-03</v>
      </c>
      <c r="K54" s="2">
        <f t="shared" si="4"/>
        <v>11</v>
      </c>
      <c r="L54" s="2">
        <f ca="1">AVERAGE(OFFSET(USD_NGN_Historical_Data__17[[#This Row],[Rate]], -6, 0, 7, 1))</f>
        <v>460.01142857142855</v>
      </c>
      <c r="M54" s="2" t="str">
        <f t="shared" si="5"/>
        <v>Wed</v>
      </c>
    </row>
    <row r="55" spans="1:13" x14ac:dyDescent="0.35">
      <c r="A55" s="4">
        <v>45001</v>
      </c>
      <c r="B55" s="2">
        <v>459.94</v>
      </c>
      <c r="C55" s="2">
        <v>460.54</v>
      </c>
      <c r="D55" s="2">
        <v>460.55</v>
      </c>
      <c r="E55" s="2">
        <v>460.44</v>
      </c>
      <c r="F55" s="1">
        <v>-2.0000000000000001E-4</v>
      </c>
      <c r="G55" s="2">
        <f t="shared" si="0"/>
        <v>2023</v>
      </c>
      <c r="H55" s="2" t="str">
        <f t="shared" si="1"/>
        <v>Mar</v>
      </c>
      <c r="I55" s="2">
        <f t="shared" si="2"/>
        <v>3</v>
      </c>
      <c r="J55" s="2" t="str">
        <f t="shared" si="3"/>
        <v>2023-03</v>
      </c>
      <c r="K55" s="2">
        <f t="shared" si="4"/>
        <v>11</v>
      </c>
      <c r="L55" s="2">
        <f ca="1">AVERAGE(OFFSET(USD_NGN_Historical_Data__17[[#This Row],[Rate]], -6, 0, 7, 1))</f>
        <v>460.00857142857143</v>
      </c>
      <c r="M55" s="2" t="str">
        <f t="shared" si="5"/>
        <v>Thu</v>
      </c>
    </row>
    <row r="56" spans="1:13" x14ac:dyDescent="0.35">
      <c r="A56" s="4">
        <v>45002</v>
      </c>
      <c r="B56" s="2">
        <v>459.94</v>
      </c>
      <c r="C56" s="2">
        <v>460.44</v>
      </c>
      <c r="D56" s="2">
        <v>460.45</v>
      </c>
      <c r="E56" s="2">
        <v>460.44</v>
      </c>
      <c r="F56" s="1">
        <v>0</v>
      </c>
      <c r="G56" s="2">
        <f t="shared" si="0"/>
        <v>2023</v>
      </c>
      <c r="H56" s="2" t="str">
        <f t="shared" si="1"/>
        <v>Mar</v>
      </c>
      <c r="I56" s="2">
        <f t="shared" si="2"/>
        <v>3</v>
      </c>
      <c r="J56" s="2" t="str">
        <f t="shared" si="3"/>
        <v>2023-03</v>
      </c>
      <c r="K56" s="2">
        <f t="shared" si="4"/>
        <v>11</v>
      </c>
      <c r="L56" s="2">
        <f ca="1">AVERAGE(OFFSET(USD_NGN_Historical_Data__17[[#This Row],[Rate]], -6, 0, 7, 1))</f>
        <v>460.00142857142862</v>
      </c>
      <c r="M56" s="2" t="str">
        <f t="shared" si="5"/>
        <v>Fri</v>
      </c>
    </row>
    <row r="57" spans="1:13" x14ac:dyDescent="0.35">
      <c r="A57" s="4">
        <v>45005</v>
      </c>
      <c r="B57" s="2">
        <v>459.89</v>
      </c>
      <c r="C57" s="2">
        <v>460.44</v>
      </c>
      <c r="D57" s="2">
        <v>460.5</v>
      </c>
      <c r="E57" s="2">
        <v>460.39</v>
      </c>
      <c r="F57" s="1">
        <v>-1E-4</v>
      </c>
      <c r="G57" s="2">
        <f t="shared" si="0"/>
        <v>2023</v>
      </c>
      <c r="H57" s="2" t="str">
        <f t="shared" si="1"/>
        <v>Mar</v>
      </c>
      <c r="I57" s="2">
        <f t="shared" si="2"/>
        <v>3</v>
      </c>
      <c r="J57" s="2" t="str">
        <f t="shared" si="3"/>
        <v>2023-03</v>
      </c>
      <c r="K57" s="2">
        <f t="shared" si="4"/>
        <v>12</v>
      </c>
      <c r="L57" s="2">
        <f ca="1">AVERAGE(OFFSET(USD_NGN_Historical_Data__17[[#This Row],[Rate]], -6, 0, 7, 1))</f>
        <v>459.98285714285709</v>
      </c>
      <c r="M57" s="2" t="str">
        <f t="shared" si="5"/>
        <v>Mon</v>
      </c>
    </row>
    <row r="58" spans="1:13" x14ac:dyDescent="0.35">
      <c r="A58" s="4">
        <v>45006</v>
      </c>
      <c r="B58" s="2">
        <v>459.92</v>
      </c>
      <c r="C58" s="2">
        <v>460.39</v>
      </c>
      <c r="D58" s="2">
        <v>460.42</v>
      </c>
      <c r="E58" s="2">
        <v>460.39</v>
      </c>
      <c r="F58" s="1">
        <v>1E-4</v>
      </c>
      <c r="G58" s="2">
        <f t="shared" si="0"/>
        <v>2023</v>
      </c>
      <c r="H58" s="2" t="str">
        <f t="shared" si="1"/>
        <v>Mar</v>
      </c>
      <c r="I58" s="2">
        <f t="shared" si="2"/>
        <v>3</v>
      </c>
      <c r="J58" s="2" t="str">
        <f t="shared" si="3"/>
        <v>2023-03</v>
      </c>
      <c r="K58" s="2">
        <f t="shared" si="4"/>
        <v>12</v>
      </c>
      <c r="L58" s="2">
        <f ca="1">AVERAGE(OFFSET(USD_NGN_Historical_Data__17[[#This Row],[Rate]], -6, 0, 7, 1))</f>
        <v>459.96857142857141</v>
      </c>
      <c r="M58" s="2" t="str">
        <f t="shared" si="5"/>
        <v>Tue</v>
      </c>
    </row>
    <row r="59" spans="1:13" x14ac:dyDescent="0.35">
      <c r="A59" s="4">
        <v>45007</v>
      </c>
      <c r="B59" s="2">
        <v>459.95</v>
      </c>
      <c r="C59" s="2">
        <v>460.42</v>
      </c>
      <c r="D59" s="2">
        <v>460.45</v>
      </c>
      <c r="E59" s="2">
        <v>460.42</v>
      </c>
      <c r="F59" s="1">
        <v>1E-4</v>
      </c>
      <c r="G59" s="2">
        <f t="shared" si="0"/>
        <v>2023</v>
      </c>
      <c r="H59" s="2" t="str">
        <f t="shared" si="1"/>
        <v>Mar</v>
      </c>
      <c r="I59" s="2">
        <f t="shared" si="2"/>
        <v>3</v>
      </c>
      <c r="J59" s="2" t="str">
        <f t="shared" si="3"/>
        <v>2023-03</v>
      </c>
      <c r="K59" s="2">
        <f t="shared" si="4"/>
        <v>12</v>
      </c>
      <c r="L59" s="2">
        <f ca="1">AVERAGE(OFFSET(USD_NGN_Historical_Data__17[[#This Row],[Rate]], -6, 0, 7, 1))</f>
        <v>459.95857142857142</v>
      </c>
      <c r="M59" s="2" t="str">
        <f t="shared" si="5"/>
        <v>Wed</v>
      </c>
    </row>
    <row r="60" spans="1:13" x14ac:dyDescent="0.35">
      <c r="A60" s="4">
        <v>45008</v>
      </c>
      <c r="B60" s="2">
        <v>459.98</v>
      </c>
      <c r="C60" s="2">
        <v>460.45</v>
      </c>
      <c r="D60" s="2">
        <v>460.48</v>
      </c>
      <c r="E60" s="2">
        <v>460.45</v>
      </c>
      <c r="F60" s="1">
        <v>1E-4</v>
      </c>
      <c r="G60" s="2">
        <f t="shared" si="0"/>
        <v>2023</v>
      </c>
      <c r="H60" s="2" t="str">
        <f t="shared" si="1"/>
        <v>Mar</v>
      </c>
      <c r="I60" s="2">
        <f t="shared" si="2"/>
        <v>3</v>
      </c>
      <c r="J60" s="2" t="str">
        <f t="shared" si="3"/>
        <v>2023-03</v>
      </c>
      <c r="K60" s="2">
        <f t="shared" si="4"/>
        <v>12</v>
      </c>
      <c r="L60" s="2">
        <f ca="1">AVERAGE(OFFSET(USD_NGN_Historical_Data__17[[#This Row],[Rate]], -6, 0, 7, 1))</f>
        <v>459.95142857142855</v>
      </c>
      <c r="M60" s="2" t="str">
        <f t="shared" si="5"/>
        <v>Thu</v>
      </c>
    </row>
    <row r="61" spans="1:13" x14ac:dyDescent="0.35">
      <c r="A61" s="4">
        <v>45009</v>
      </c>
      <c r="B61" s="2">
        <v>459.98</v>
      </c>
      <c r="C61" s="2">
        <v>460.48</v>
      </c>
      <c r="D61" s="2">
        <v>460.48</v>
      </c>
      <c r="E61" s="2">
        <v>460.47</v>
      </c>
      <c r="F61" s="1">
        <v>0</v>
      </c>
      <c r="G61" s="2">
        <f t="shared" si="0"/>
        <v>2023</v>
      </c>
      <c r="H61" s="2" t="str">
        <f t="shared" si="1"/>
        <v>Mar</v>
      </c>
      <c r="I61" s="2">
        <f t="shared" si="2"/>
        <v>3</v>
      </c>
      <c r="J61" s="2" t="str">
        <f t="shared" si="3"/>
        <v>2023-03</v>
      </c>
      <c r="K61" s="2">
        <f t="shared" si="4"/>
        <v>12</v>
      </c>
      <c r="L61" s="2">
        <f ca="1">AVERAGE(OFFSET(USD_NGN_Historical_Data__17[[#This Row],[Rate]], -6, 0, 7, 1))</f>
        <v>459.94285714285712</v>
      </c>
      <c r="M61" s="2" t="str">
        <f t="shared" si="5"/>
        <v>Fri</v>
      </c>
    </row>
    <row r="62" spans="1:13" x14ac:dyDescent="0.35">
      <c r="A62" s="4">
        <v>45012</v>
      </c>
      <c r="B62" s="2">
        <v>459.9</v>
      </c>
      <c r="C62" s="2">
        <v>460.48</v>
      </c>
      <c r="D62" s="2">
        <v>460.5</v>
      </c>
      <c r="E62" s="2">
        <v>460.4</v>
      </c>
      <c r="F62" s="1">
        <v>-2.0000000000000001E-4</v>
      </c>
      <c r="G62" s="2">
        <f t="shared" si="0"/>
        <v>2023</v>
      </c>
      <c r="H62" s="2" t="str">
        <f t="shared" si="1"/>
        <v>Mar</v>
      </c>
      <c r="I62" s="2">
        <f t="shared" si="2"/>
        <v>3</v>
      </c>
      <c r="J62" s="2" t="str">
        <f t="shared" si="3"/>
        <v>2023-03</v>
      </c>
      <c r="K62" s="2">
        <f t="shared" si="4"/>
        <v>13</v>
      </c>
      <c r="L62" s="2">
        <f ca="1">AVERAGE(OFFSET(USD_NGN_Historical_Data__17[[#This Row],[Rate]], -6, 0, 7, 1))</f>
        <v>459.93714285714293</v>
      </c>
      <c r="M62" s="2" t="str">
        <f t="shared" si="5"/>
        <v>Mon</v>
      </c>
    </row>
    <row r="63" spans="1:13" x14ac:dyDescent="0.35">
      <c r="A63" s="4">
        <v>45013</v>
      </c>
      <c r="B63" s="2">
        <v>459.85</v>
      </c>
      <c r="C63" s="2">
        <v>460.4</v>
      </c>
      <c r="D63" s="2">
        <v>460.41</v>
      </c>
      <c r="E63" s="2">
        <v>460.35</v>
      </c>
      <c r="F63" s="1">
        <v>-1E-4</v>
      </c>
      <c r="G63" s="2">
        <f t="shared" si="0"/>
        <v>2023</v>
      </c>
      <c r="H63" s="2" t="str">
        <f t="shared" si="1"/>
        <v>Mar</v>
      </c>
      <c r="I63" s="2">
        <f t="shared" si="2"/>
        <v>3</v>
      </c>
      <c r="J63" s="2" t="str">
        <f t="shared" si="3"/>
        <v>2023-03</v>
      </c>
      <c r="K63" s="2">
        <f t="shared" si="4"/>
        <v>13</v>
      </c>
      <c r="L63" s="2">
        <f ca="1">AVERAGE(OFFSET(USD_NGN_Historical_Data__17[[#This Row],[Rate]], -6, 0, 7, 1))</f>
        <v>459.92428571428576</v>
      </c>
      <c r="M63" s="2" t="str">
        <f t="shared" si="5"/>
        <v>Tue</v>
      </c>
    </row>
    <row r="64" spans="1:13" x14ac:dyDescent="0.35">
      <c r="A64" s="4">
        <v>45014</v>
      </c>
      <c r="B64" s="2">
        <v>459.82</v>
      </c>
      <c r="C64" s="2">
        <v>460.35</v>
      </c>
      <c r="D64" s="2">
        <v>460.4</v>
      </c>
      <c r="E64" s="2">
        <v>460.32</v>
      </c>
      <c r="F64" s="1">
        <v>-1E-4</v>
      </c>
      <c r="G64" s="2">
        <f t="shared" si="0"/>
        <v>2023</v>
      </c>
      <c r="H64" s="2" t="str">
        <f t="shared" si="1"/>
        <v>Mar</v>
      </c>
      <c r="I64" s="2">
        <f t="shared" si="2"/>
        <v>3</v>
      </c>
      <c r="J64" s="2" t="str">
        <f t="shared" si="3"/>
        <v>2023-03</v>
      </c>
      <c r="K64" s="2">
        <f t="shared" si="4"/>
        <v>13</v>
      </c>
      <c r="L64" s="2">
        <f ca="1">AVERAGE(OFFSET(USD_NGN_Historical_Data__17[[#This Row],[Rate]], -6, 0, 7, 1))</f>
        <v>459.91428571428571</v>
      </c>
      <c r="M64" s="2" t="str">
        <f t="shared" si="5"/>
        <v>Wed</v>
      </c>
    </row>
    <row r="65" spans="1:13" x14ac:dyDescent="0.35">
      <c r="A65" s="4">
        <v>45015</v>
      </c>
      <c r="B65" s="2">
        <v>459.85</v>
      </c>
      <c r="C65" s="2">
        <v>460.32</v>
      </c>
      <c r="D65" s="2">
        <v>460.35</v>
      </c>
      <c r="E65" s="2">
        <v>460.29</v>
      </c>
      <c r="F65" s="1">
        <v>1E-4</v>
      </c>
      <c r="G65" s="2">
        <f t="shared" si="0"/>
        <v>2023</v>
      </c>
      <c r="H65" s="2" t="str">
        <f t="shared" si="1"/>
        <v>Mar</v>
      </c>
      <c r="I65" s="2">
        <f t="shared" si="2"/>
        <v>3</v>
      </c>
      <c r="J65" s="2" t="str">
        <f t="shared" si="3"/>
        <v>2023-03</v>
      </c>
      <c r="K65" s="2">
        <f t="shared" si="4"/>
        <v>13</v>
      </c>
      <c r="L65" s="2">
        <f ca="1">AVERAGE(OFFSET(USD_NGN_Historical_Data__17[[#This Row],[Rate]], -6, 0, 7, 1))</f>
        <v>459.90428571428572</v>
      </c>
      <c r="M65" s="2" t="str">
        <f t="shared" si="5"/>
        <v>Thu</v>
      </c>
    </row>
    <row r="66" spans="1:13" x14ac:dyDescent="0.35">
      <c r="A66" s="4">
        <v>45016</v>
      </c>
      <c r="B66" s="2">
        <v>459.84</v>
      </c>
      <c r="C66" s="2">
        <v>460.35</v>
      </c>
      <c r="D66" s="2">
        <v>460.35</v>
      </c>
      <c r="E66" s="2">
        <v>460.34</v>
      </c>
      <c r="F66" s="1">
        <v>0</v>
      </c>
      <c r="G66" s="2">
        <f t="shared" ref="G66:G129" si="6">YEAR(A66)</f>
        <v>2023</v>
      </c>
      <c r="H66" s="2" t="str">
        <f t="shared" ref="H66:H129" si="7">TEXT(A66,"mmm")</f>
        <v>Mar</v>
      </c>
      <c r="I66" s="2">
        <f t="shared" ref="I66:I129" si="8">MONTH(A66)</f>
        <v>3</v>
      </c>
      <c r="J66" s="2" t="str">
        <f t="shared" ref="J66:J129" si="9">TEXT(A66,"yyyy-mm")</f>
        <v>2023-03</v>
      </c>
      <c r="K66" s="2">
        <f t="shared" ref="K66:K129" si="10">WEEKNUM(A66)</f>
        <v>13</v>
      </c>
      <c r="L66" s="2">
        <f ca="1">AVERAGE(OFFSET(USD_NGN_Historical_Data__17[[#This Row],[Rate]], -6, 0, 7, 1))</f>
        <v>459.88857142857148</v>
      </c>
      <c r="M66" s="2" t="str">
        <f t="shared" ref="M66:M129" si="11">TEXT(A66, "ddd")</f>
        <v>Fri</v>
      </c>
    </row>
    <row r="67" spans="1:13" x14ac:dyDescent="0.35">
      <c r="A67" s="4">
        <v>45019</v>
      </c>
      <c r="B67" s="2">
        <v>459.83</v>
      </c>
      <c r="C67" s="2">
        <v>460.34</v>
      </c>
      <c r="D67" s="2">
        <v>460.35</v>
      </c>
      <c r="E67" s="2">
        <v>460.32</v>
      </c>
      <c r="F67" s="1">
        <v>0</v>
      </c>
      <c r="G67" s="2">
        <f t="shared" si="6"/>
        <v>2023</v>
      </c>
      <c r="H67" s="2" t="str">
        <f t="shared" si="7"/>
        <v>Apr</v>
      </c>
      <c r="I67" s="2">
        <f t="shared" si="8"/>
        <v>4</v>
      </c>
      <c r="J67" s="2" t="str">
        <f t="shared" si="9"/>
        <v>2023-04</v>
      </c>
      <c r="K67" s="2">
        <f t="shared" si="10"/>
        <v>14</v>
      </c>
      <c r="L67" s="2">
        <f ca="1">AVERAGE(OFFSET(USD_NGN_Historical_Data__17[[#This Row],[Rate]], -6, 0, 7, 1))</f>
        <v>459.86714285714288</v>
      </c>
      <c r="M67" s="2" t="str">
        <f t="shared" si="11"/>
        <v>Mon</v>
      </c>
    </row>
    <row r="68" spans="1:13" x14ac:dyDescent="0.35">
      <c r="A68" s="4">
        <v>45020</v>
      </c>
      <c r="B68" s="2">
        <v>459.83</v>
      </c>
      <c r="C68" s="2">
        <v>460.33</v>
      </c>
      <c r="D68" s="2">
        <v>460.33</v>
      </c>
      <c r="E68" s="2">
        <v>460.32</v>
      </c>
      <c r="F68" s="1">
        <v>0</v>
      </c>
      <c r="G68" s="2">
        <f t="shared" si="6"/>
        <v>2023</v>
      </c>
      <c r="H68" s="2" t="str">
        <f t="shared" si="7"/>
        <v>Apr</v>
      </c>
      <c r="I68" s="2">
        <f t="shared" si="8"/>
        <v>4</v>
      </c>
      <c r="J68" s="2" t="str">
        <f t="shared" si="9"/>
        <v>2023-04</v>
      </c>
      <c r="K68" s="2">
        <f t="shared" si="10"/>
        <v>14</v>
      </c>
      <c r="L68" s="2">
        <f ca="1">AVERAGE(OFFSET(USD_NGN_Historical_Data__17[[#This Row],[Rate]], -6, 0, 7, 1))</f>
        <v>459.84571428571428</v>
      </c>
      <c r="M68" s="2" t="str">
        <f t="shared" si="11"/>
        <v>Tue</v>
      </c>
    </row>
    <row r="69" spans="1:13" x14ac:dyDescent="0.35">
      <c r="A69" s="4">
        <v>45021</v>
      </c>
      <c r="B69" s="2">
        <v>459.86</v>
      </c>
      <c r="C69" s="2">
        <v>460.33</v>
      </c>
      <c r="D69" s="2">
        <v>460.36</v>
      </c>
      <c r="E69" s="2">
        <v>460.32</v>
      </c>
      <c r="F69" s="1">
        <v>1E-4</v>
      </c>
      <c r="G69" s="2">
        <f t="shared" si="6"/>
        <v>2023</v>
      </c>
      <c r="H69" s="2" t="str">
        <f t="shared" si="7"/>
        <v>Apr</v>
      </c>
      <c r="I69" s="2">
        <f t="shared" si="8"/>
        <v>4</v>
      </c>
      <c r="J69" s="2" t="str">
        <f t="shared" si="9"/>
        <v>2023-04</v>
      </c>
      <c r="K69" s="2">
        <f t="shared" si="10"/>
        <v>14</v>
      </c>
      <c r="L69" s="2">
        <f ca="1">AVERAGE(OFFSET(USD_NGN_Historical_Data__17[[#This Row],[Rate]], -6, 0, 7, 1))</f>
        <v>459.84000000000003</v>
      </c>
      <c r="M69" s="2" t="str">
        <f t="shared" si="11"/>
        <v>Wed</v>
      </c>
    </row>
    <row r="70" spans="1:13" x14ac:dyDescent="0.35">
      <c r="A70" s="4">
        <v>45022</v>
      </c>
      <c r="B70" s="2">
        <v>459.83</v>
      </c>
      <c r="C70" s="2">
        <v>460.36</v>
      </c>
      <c r="D70" s="2">
        <v>460.36</v>
      </c>
      <c r="E70" s="2">
        <v>460.33</v>
      </c>
      <c r="F70" s="1">
        <v>-1E-4</v>
      </c>
      <c r="G70" s="2">
        <f t="shared" si="6"/>
        <v>2023</v>
      </c>
      <c r="H70" s="2" t="str">
        <f t="shared" si="7"/>
        <v>Apr</v>
      </c>
      <c r="I70" s="2">
        <f t="shared" si="8"/>
        <v>4</v>
      </c>
      <c r="J70" s="2" t="str">
        <f t="shared" si="9"/>
        <v>2023-04</v>
      </c>
      <c r="K70" s="2">
        <f t="shared" si="10"/>
        <v>14</v>
      </c>
      <c r="L70" s="2">
        <f ca="1">AVERAGE(OFFSET(USD_NGN_Historical_Data__17[[#This Row],[Rate]], -6, 0, 7, 1))</f>
        <v>459.83714285714285</v>
      </c>
      <c r="M70" s="2" t="str">
        <f t="shared" si="11"/>
        <v>Thu</v>
      </c>
    </row>
    <row r="71" spans="1:13" x14ac:dyDescent="0.35">
      <c r="A71" s="4">
        <v>45023</v>
      </c>
      <c r="B71" s="2">
        <v>459.83</v>
      </c>
      <c r="C71" s="2">
        <v>460.33</v>
      </c>
      <c r="D71" s="2">
        <v>460.33</v>
      </c>
      <c r="E71" s="2">
        <v>460.33</v>
      </c>
      <c r="F71" s="1">
        <v>0</v>
      </c>
      <c r="G71" s="2">
        <f t="shared" si="6"/>
        <v>2023</v>
      </c>
      <c r="H71" s="2" t="str">
        <f t="shared" si="7"/>
        <v>Apr</v>
      </c>
      <c r="I71" s="2">
        <f t="shared" si="8"/>
        <v>4</v>
      </c>
      <c r="J71" s="2" t="str">
        <f t="shared" si="9"/>
        <v>2023-04</v>
      </c>
      <c r="K71" s="2">
        <f t="shared" si="10"/>
        <v>14</v>
      </c>
      <c r="L71" s="2">
        <f ca="1">AVERAGE(OFFSET(USD_NGN_Historical_Data__17[[#This Row],[Rate]], -6, 0, 7, 1))</f>
        <v>459.83857142857141</v>
      </c>
      <c r="M71" s="2" t="str">
        <f t="shared" si="11"/>
        <v>Fri</v>
      </c>
    </row>
    <row r="72" spans="1:13" x14ac:dyDescent="0.35">
      <c r="A72" s="4">
        <v>45026</v>
      </c>
      <c r="B72" s="2">
        <v>459.83</v>
      </c>
      <c r="C72" s="2">
        <v>460.33</v>
      </c>
      <c r="D72" s="2">
        <v>460.33</v>
      </c>
      <c r="E72" s="2">
        <v>460.32</v>
      </c>
      <c r="F72" s="1">
        <v>0</v>
      </c>
      <c r="G72" s="2">
        <f t="shared" si="6"/>
        <v>2023</v>
      </c>
      <c r="H72" s="2" t="str">
        <f t="shared" si="7"/>
        <v>Apr</v>
      </c>
      <c r="I72" s="2">
        <f t="shared" si="8"/>
        <v>4</v>
      </c>
      <c r="J72" s="2" t="str">
        <f t="shared" si="9"/>
        <v>2023-04</v>
      </c>
      <c r="K72" s="2">
        <f t="shared" si="10"/>
        <v>15</v>
      </c>
      <c r="L72" s="2">
        <f ca="1">AVERAGE(OFFSET(USD_NGN_Historical_Data__17[[#This Row],[Rate]], -6, 0, 7, 1))</f>
        <v>459.83571428571429</v>
      </c>
      <c r="M72" s="2" t="str">
        <f t="shared" si="11"/>
        <v>Mon</v>
      </c>
    </row>
    <row r="73" spans="1:13" x14ac:dyDescent="0.35">
      <c r="A73" s="4">
        <v>45027</v>
      </c>
      <c r="B73" s="2">
        <v>459.83</v>
      </c>
      <c r="C73" s="2">
        <v>460.33</v>
      </c>
      <c r="D73" s="2">
        <v>460.5</v>
      </c>
      <c r="E73" s="2">
        <v>460.33</v>
      </c>
      <c r="F73" s="1">
        <v>0</v>
      </c>
      <c r="G73" s="2">
        <f t="shared" si="6"/>
        <v>2023</v>
      </c>
      <c r="H73" s="2" t="str">
        <f t="shared" si="7"/>
        <v>Apr</v>
      </c>
      <c r="I73" s="2">
        <f t="shared" si="8"/>
        <v>4</v>
      </c>
      <c r="J73" s="2" t="str">
        <f t="shared" si="9"/>
        <v>2023-04</v>
      </c>
      <c r="K73" s="2">
        <f t="shared" si="10"/>
        <v>15</v>
      </c>
      <c r="L73" s="2">
        <f ca="1">AVERAGE(OFFSET(USD_NGN_Historical_Data__17[[#This Row],[Rate]], -6, 0, 7, 1))</f>
        <v>459.83428571428567</v>
      </c>
      <c r="M73" s="2" t="str">
        <f t="shared" si="11"/>
        <v>Tue</v>
      </c>
    </row>
    <row r="74" spans="1:13" x14ac:dyDescent="0.35">
      <c r="A74" s="4">
        <v>45028</v>
      </c>
      <c r="B74" s="2">
        <v>459.83</v>
      </c>
      <c r="C74" s="2">
        <v>460.33</v>
      </c>
      <c r="D74" s="2">
        <v>460.33</v>
      </c>
      <c r="E74" s="2">
        <v>460.33</v>
      </c>
      <c r="F74" s="1">
        <v>0</v>
      </c>
      <c r="G74" s="2">
        <f t="shared" si="6"/>
        <v>2023</v>
      </c>
      <c r="H74" s="2" t="str">
        <f t="shared" si="7"/>
        <v>Apr</v>
      </c>
      <c r="I74" s="2">
        <f t="shared" si="8"/>
        <v>4</v>
      </c>
      <c r="J74" s="2" t="str">
        <f t="shared" si="9"/>
        <v>2023-04</v>
      </c>
      <c r="K74" s="2">
        <f t="shared" si="10"/>
        <v>15</v>
      </c>
      <c r="L74" s="2">
        <f ca="1">AVERAGE(OFFSET(USD_NGN_Historical_Data__17[[#This Row],[Rate]], -6, 0, 7, 1))</f>
        <v>459.83428571428567</v>
      </c>
      <c r="M74" s="2" t="str">
        <f t="shared" si="11"/>
        <v>Wed</v>
      </c>
    </row>
    <row r="75" spans="1:13" x14ac:dyDescent="0.35">
      <c r="A75" s="4">
        <v>45029</v>
      </c>
      <c r="B75" s="2">
        <v>459.93</v>
      </c>
      <c r="C75" s="2">
        <v>460.33</v>
      </c>
      <c r="D75" s="2">
        <v>460.43</v>
      </c>
      <c r="E75" s="2">
        <v>460.32</v>
      </c>
      <c r="F75" s="1">
        <v>2.0000000000000001E-4</v>
      </c>
      <c r="G75" s="2">
        <f t="shared" si="6"/>
        <v>2023</v>
      </c>
      <c r="H75" s="2" t="str">
        <f t="shared" si="7"/>
        <v>Apr</v>
      </c>
      <c r="I75" s="2">
        <f t="shared" si="8"/>
        <v>4</v>
      </c>
      <c r="J75" s="2" t="str">
        <f t="shared" si="9"/>
        <v>2023-04</v>
      </c>
      <c r="K75" s="2">
        <f t="shared" si="10"/>
        <v>15</v>
      </c>
      <c r="L75" s="2">
        <f ca="1">AVERAGE(OFFSET(USD_NGN_Historical_Data__17[[#This Row],[Rate]], -6, 0, 7, 1))</f>
        <v>459.84857142857135</v>
      </c>
      <c r="M75" s="2" t="str">
        <f t="shared" si="11"/>
        <v>Thu</v>
      </c>
    </row>
    <row r="76" spans="1:13" x14ac:dyDescent="0.35">
      <c r="A76" s="4">
        <v>45030</v>
      </c>
      <c r="B76" s="2">
        <v>459.93</v>
      </c>
      <c r="C76" s="2">
        <v>460.43</v>
      </c>
      <c r="D76" s="2">
        <v>460.43</v>
      </c>
      <c r="E76" s="2">
        <v>460.42</v>
      </c>
      <c r="F76" s="1">
        <v>0</v>
      </c>
      <c r="G76" s="2">
        <f t="shared" si="6"/>
        <v>2023</v>
      </c>
      <c r="H76" s="2" t="str">
        <f t="shared" si="7"/>
        <v>Apr</v>
      </c>
      <c r="I76" s="2">
        <f t="shared" si="8"/>
        <v>4</v>
      </c>
      <c r="J76" s="2" t="str">
        <f t="shared" si="9"/>
        <v>2023-04</v>
      </c>
      <c r="K76" s="2">
        <f t="shared" si="10"/>
        <v>15</v>
      </c>
      <c r="L76" s="2">
        <f ca="1">AVERAGE(OFFSET(USD_NGN_Historical_Data__17[[#This Row],[Rate]], -6, 0, 7, 1))</f>
        <v>459.85857142857139</v>
      </c>
      <c r="M76" s="2" t="str">
        <f t="shared" si="11"/>
        <v>Fri</v>
      </c>
    </row>
    <row r="77" spans="1:13" x14ac:dyDescent="0.35">
      <c r="A77" s="4">
        <v>45033</v>
      </c>
      <c r="B77" s="2">
        <v>459.92</v>
      </c>
      <c r="C77" s="2">
        <v>460.43</v>
      </c>
      <c r="D77" s="2">
        <v>460.5</v>
      </c>
      <c r="E77" s="2">
        <v>460.42</v>
      </c>
      <c r="F77" s="1">
        <v>0</v>
      </c>
      <c r="G77" s="2">
        <f t="shared" si="6"/>
        <v>2023</v>
      </c>
      <c r="H77" s="2" t="str">
        <f t="shared" si="7"/>
        <v>Apr</v>
      </c>
      <c r="I77" s="2">
        <f t="shared" si="8"/>
        <v>4</v>
      </c>
      <c r="J77" s="2" t="str">
        <f t="shared" si="9"/>
        <v>2023-04</v>
      </c>
      <c r="K77" s="2">
        <f t="shared" si="10"/>
        <v>16</v>
      </c>
      <c r="L77" s="2">
        <f ca="1">AVERAGE(OFFSET(USD_NGN_Historical_Data__17[[#This Row],[Rate]], -6, 0, 7, 1))</f>
        <v>459.87142857142857</v>
      </c>
      <c r="M77" s="2" t="str">
        <f t="shared" si="11"/>
        <v>Mon</v>
      </c>
    </row>
    <row r="78" spans="1:13" x14ac:dyDescent="0.35">
      <c r="A78" s="4">
        <v>45034</v>
      </c>
      <c r="B78" s="2">
        <v>459.91</v>
      </c>
      <c r="C78" s="2">
        <v>460.42</v>
      </c>
      <c r="D78" s="2">
        <v>460.42</v>
      </c>
      <c r="E78" s="2">
        <v>460.41</v>
      </c>
      <c r="F78" s="1">
        <v>0</v>
      </c>
      <c r="G78" s="2">
        <f t="shared" si="6"/>
        <v>2023</v>
      </c>
      <c r="H78" s="2" t="str">
        <f t="shared" si="7"/>
        <v>Apr</v>
      </c>
      <c r="I78" s="2">
        <f t="shared" si="8"/>
        <v>4</v>
      </c>
      <c r="J78" s="2" t="str">
        <f t="shared" si="9"/>
        <v>2023-04</v>
      </c>
      <c r="K78" s="2">
        <f t="shared" si="10"/>
        <v>16</v>
      </c>
      <c r="L78" s="2">
        <f ca="1">AVERAGE(OFFSET(USD_NGN_Historical_Data__17[[#This Row],[Rate]], -6, 0, 7, 1))</f>
        <v>459.88285714285712</v>
      </c>
      <c r="M78" s="2" t="str">
        <f t="shared" si="11"/>
        <v>Tue</v>
      </c>
    </row>
    <row r="79" spans="1:13" x14ac:dyDescent="0.35">
      <c r="A79" s="4">
        <v>45035</v>
      </c>
      <c r="B79" s="2">
        <v>460.03</v>
      </c>
      <c r="C79" s="2">
        <v>460.41</v>
      </c>
      <c r="D79" s="2">
        <v>460.53</v>
      </c>
      <c r="E79" s="2">
        <v>460.32</v>
      </c>
      <c r="F79" s="1">
        <v>2.9999999999999997E-4</v>
      </c>
      <c r="G79" s="2">
        <f t="shared" si="6"/>
        <v>2023</v>
      </c>
      <c r="H79" s="2" t="str">
        <f t="shared" si="7"/>
        <v>Apr</v>
      </c>
      <c r="I79" s="2">
        <f t="shared" si="8"/>
        <v>4</v>
      </c>
      <c r="J79" s="2" t="str">
        <f t="shared" si="9"/>
        <v>2023-04</v>
      </c>
      <c r="K79" s="2">
        <f t="shared" si="10"/>
        <v>16</v>
      </c>
      <c r="L79" s="2">
        <f ca="1">AVERAGE(OFFSET(USD_NGN_Historical_Data__17[[#This Row],[Rate]], -6, 0, 7, 1))</f>
        <v>459.91142857142859</v>
      </c>
      <c r="M79" s="2" t="str">
        <f t="shared" si="11"/>
        <v>Wed</v>
      </c>
    </row>
    <row r="80" spans="1:13" x14ac:dyDescent="0.35">
      <c r="A80" s="4">
        <v>45036</v>
      </c>
      <c r="B80" s="2">
        <v>460.03</v>
      </c>
      <c r="C80" s="2">
        <v>460.53</v>
      </c>
      <c r="D80" s="2">
        <v>460.53</v>
      </c>
      <c r="E80" s="2">
        <v>460.52</v>
      </c>
      <c r="F80" s="1">
        <v>0</v>
      </c>
      <c r="G80" s="2">
        <f t="shared" si="6"/>
        <v>2023</v>
      </c>
      <c r="H80" s="2" t="str">
        <f t="shared" si="7"/>
        <v>Apr</v>
      </c>
      <c r="I80" s="2">
        <f t="shared" si="8"/>
        <v>4</v>
      </c>
      <c r="J80" s="2" t="str">
        <f t="shared" si="9"/>
        <v>2023-04</v>
      </c>
      <c r="K80" s="2">
        <f t="shared" si="10"/>
        <v>16</v>
      </c>
      <c r="L80" s="2">
        <f ca="1">AVERAGE(OFFSET(USD_NGN_Historical_Data__17[[#This Row],[Rate]], -6, 0, 7, 1))</f>
        <v>459.94</v>
      </c>
      <c r="M80" s="2" t="str">
        <f t="shared" si="11"/>
        <v>Thu</v>
      </c>
    </row>
    <row r="81" spans="1:13" x14ac:dyDescent="0.35">
      <c r="A81" s="4">
        <v>45037</v>
      </c>
      <c r="B81" s="2">
        <v>460.03</v>
      </c>
      <c r="C81" s="2">
        <v>460.53</v>
      </c>
      <c r="D81" s="2">
        <v>460.54</v>
      </c>
      <c r="E81" s="2">
        <v>460.53</v>
      </c>
      <c r="F81" s="1">
        <v>0</v>
      </c>
      <c r="G81" s="2">
        <f t="shared" si="6"/>
        <v>2023</v>
      </c>
      <c r="H81" s="2" t="str">
        <f t="shared" si="7"/>
        <v>Apr</v>
      </c>
      <c r="I81" s="2">
        <f t="shared" si="8"/>
        <v>4</v>
      </c>
      <c r="J81" s="2" t="str">
        <f t="shared" si="9"/>
        <v>2023-04</v>
      </c>
      <c r="K81" s="2">
        <f t="shared" si="10"/>
        <v>16</v>
      </c>
      <c r="L81" s="2">
        <f ca="1">AVERAGE(OFFSET(USD_NGN_Historical_Data__17[[#This Row],[Rate]], -6, 0, 7, 1))</f>
        <v>459.96857142857141</v>
      </c>
      <c r="M81" s="2" t="str">
        <f t="shared" si="11"/>
        <v>Fri</v>
      </c>
    </row>
    <row r="82" spans="1:13" x14ac:dyDescent="0.35">
      <c r="A82" s="4">
        <v>45040</v>
      </c>
      <c r="B82" s="2">
        <v>460.03</v>
      </c>
      <c r="C82" s="2">
        <v>460.53</v>
      </c>
      <c r="D82" s="2">
        <v>460.53</v>
      </c>
      <c r="E82" s="2">
        <v>459.97</v>
      </c>
      <c r="F82" s="1">
        <v>0</v>
      </c>
      <c r="G82" s="2">
        <f t="shared" si="6"/>
        <v>2023</v>
      </c>
      <c r="H82" s="2" t="str">
        <f t="shared" si="7"/>
        <v>Apr</v>
      </c>
      <c r="I82" s="2">
        <f t="shared" si="8"/>
        <v>4</v>
      </c>
      <c r="J82" s="2" t="str">
        <f t="shared" si="9"/>
        <v>2023-04</v>
      </c>
      <c r="K82" s="2">
        <f t="shared" si="10"/>
        <v>17</v>
      </c>
      <c r="L82" s="2">
        <f ca="1">AVERAGE(OFFSET(USD_NGN_Historical_Data__17[[#This Row],[Rate]], -6, 0, 7, 1))</f>
        <v>459.98285714285703</v>
      </c>
      <c r="M82" s="2" t="str">
        <f t="shared" si="11"/>
        <v>Mon</v>
      </c>
    </row>
    <row r="83" spans="1:13" x14ac:dyDescent="0.35">
      <c r="A83" s="4">
        <v>45041</v>
      </c>
      <c r="B83" s="2">
        <v>460.03</v>
      </c>
      <c r="C83" s="2">
        <v>460.53</v>
      </c>
      <c r="D83" s="2">
        <v>460.53</v>
      </c>
      <c r="E83" s="2">
        <v>460.52</v>
      </c>
      <c r="F83" s="1">
        <v>0</v>
      </c>
      <c r="G83" s="2">
        <f t="shared" si="6"/>
        <v>2023</v>
      </c>
      <c r="H83" s="2" t="str">
        <f t="shared" si="7"/>
        <v>Apr</v>
      </c>
      <c r="I83" s="2">
        <f t="shared" si="8"/>
        <v>4</v>
      </c>
      <c r="J83" s="2" t="str">
        <f t="shared" si="9"/>
        <v>2023-04</v>
      </c>
      <c r="K83" s="2">
        <f t="shared" si="10"/>
        <v>17</v>
      </c>
      <c r="L83" s="2">
        <f ca="1">AVERAGE(OFFSET(USD_NGN_Historical_Data__17[[#This Row],[Rate]], -6, 0, 7, 1))</f>
        <v>459.99714285714282</v>
      </c>
      <c r="M83" s="2" t="str">
        <f t="shared" si="11"/>
        <v>Tue</v>
      </c>
    </row>
    <row r="84" spans="1:13" x14ac:dyDescent="0.35">
      <c r="A84" s="4">
        <v>45042</v>
      </c>
      <c r="B84" s="2">
        <v>459.97</v>
      </c>
      <c r="C84" s="2">
        <v>460.53</v>
      </c>
      <c r="D84" s="2">
        <v>460.53</v>
      </c>
      <c r="E84" s="2">
        <v>460.47</v>
      </c>
      <c r="F84" s="1">
        <v>-1E-4</v>
      </c>
      <c r="G84" s="2">
        <f t="shared" si="6"/>
        <v>2023</v>
      </c>
      <c r="H84" s="2" t="str">
        <f t="shared" si="7"/>
        <v>Apr</v>
      </c>
      <c r="I84" s="2">
        <f t="shared" si="8"/>
        <v>4</v>
      </c>
      <c r="J84" s="2" t="str">
        <f t="shared" si="9"/>
        <v>2023-04</v>
      </c>
      <c r="K84" s="2">
        <f t="shared" si="10"/>
        <v>17</v>
      </c>
      <c r="L84" s="2">
        <f ca="1">AVERAGE(OFFSET(USD_NGN_Historical_Data__17[[#This Row],[Rate]], -6, 0, 7, 1))</f>
        <v>460.00428571428569</v>
      </c>
      <c r="M84" s="2" t="str">
        <f t="shared" si="11"/>
        <v>Wed</v>
      </c>
    </row>
    <row r="85" spans="1:13" x14ac:dyDescent="0.35">
      <c r="A85" s="4">
        <v>45043</v>
      </c>
      <c r="B85" s="2">
        <v>459.97</v>
      </c>
      <c r="C85" s="2">
        <v>460.47</v>
      </c>
      <c r="D85" s="2">
        <v>460.5</v>
      </c>
      <c r="E85" s="2">
        <v>460.45</v>
      </c>
      <c r="F85" s="1">
        <v>0</v>
      </c>
      <c r="G85" s="2">
        <f t="shared" si="6"/>
        <v>2023</v>
      </c>
      <c r="H85" s="2" t="str">
        <f t="shared" si="7"/>
        <v>Apr</v>
      </c>
      <c r="I85" s="2">
        <f t="shared" si="8"/>
        <v>4</v>
      </c>
      <c r="J85" s="2" t="str">
        <f t="shared" si="9"/>
        <v>2023-04</v>
      </c>
      <c r="K85" s="2">
        <f t="shared" si="10"/>
        <v>17</v>
      </c>
      <c r="L85" s="2">
        <f ca="1">AVERAGE(OFFSET(USD_NGN_Historical_Data__17[[#This Row],[Rate]], -6, 0, 7, 1))</f>
        <v>460.01285714285717</v>
      </c>
      <c r="M85" s="2" t="str">
        <f t="shared" si="11"/>
        <v>Thu</v>
      </c>
    </row>
    <row r="86" spans="1:13" x14ac:dyDescent="0.35">
      <c r="A86" s="4">
        <v>45044</v>
      </c>
      <c r="B86" s="2">
        <v>459.97</v>
      </c>
      <c r="C86" s="2">
        <v>460.47</v>
      </c>
      <c r="D86" s="2">
        <v>460.5</v>
      </c>
      <c r="E86" s="2">
        <v>460.45</v>
      </c>
      <c r="F86" s="1">
        <v>0</v>
      </c>
      <c r="G86" s="2">
        <f t="shared" si="6"/>
        <v>2023</v>
      </c>
      <c r="H86" s="2" t="str">
        <f t="shared" si="7"/>
        <v>Apr</v>
      </c>
      <c r="I86" s="2">
        <f t="shared" si="8"/>
        <v>4</v>
      </c>
      <c r="J86" s="2" t="str">
        <f t="shared" si="9"/>
        <v>2023-04</v>
      </c>
      <c r="K86" s="2">
        <f t="shared" si="10"/>
        <v>17</v>
      </c>
      <c r="L86" s="2">
        <f ca="1">AVERAGE(OFFSET(USD_NGN_Historical_Data__17[[#This Row],[Rate]], -6, 0, 7, 1))</f>
        <v>460.0042857142858</v>
      </c>
      <c r="M86" s="2" t="str">
        <f t="shared" si="11"/>
        <v>Fri</v>
      </c>
    </row>
    <row r="87" spans="1:13" x14ac:dyDescent="0.35">
      <c r="A87" s="4">
        <v>45047</v>
      </c>
      <c r="B87" s="2">
        <v>459.87</v>
      </c>
      <c r="C87" s="2">
        <v>460.47</v>
      </c>
      <c r="D87" s="2">
        <v>460.48</v>
      </c>
      <c r="E87" s="2">
        <v>460.37</v>
      </c>
      <c r="F87" s="1">
        <v>-2.0000000000000001E-4</v>
      </c>
      <c r="G87" s="2">
        <f t="shared" si="6"/>
        <v>2023</v>
      </c>
      <c r="H87" s="2" t="str">
        <f t="shared" si="7"/>
        <v>May</v>
      </c>
      <c r="I87" s="2">
        <f t="shared" si="8"/>
        <v>5</v>
      </c>
      <c r="J87" s="2" t="str">
        <f t="shared" si="9"/>
        <v>2023-05</v>
      </c>
      <c r="K87" s="2">
        <f t="shared" si="10"/>
        <v>18</v>
      </c>
      <c r="L87" s="2">
        <f ca="1">AVERAGE(OFFSET(USD_NGN_Historical_Data__17[[#This Row],[Rate]], -6, 0, 7, 1))</f>
        <v>459.98142857142858</v>
      </c>
      <c r="M87" s="2" t="str">
        <f t="shared" si="11"/>
        <v>Mon</v>
      </c>
    </row>
    <row r="88" spans="1:13" x14ac:dyDescent="0.35">
      <c r="A88" s="4">
        <v>45048</v>
      </c>
      <c r="B88" s="2">
        <v>459.81</v>
      </c>
      <c r="C88" s="2">
        <v>460.37</v>
      </c>
      <c r="D88" s="2">
        <v>460.5</v>
      </c>
      <c r="E88" s="2">
        <v>460.31</v>
      </c>
      <c r="F88" s="1">
        <v>-1E-4</v>
      </c>
      <c r="G88" s="2">
        <f t="shared" si="6"/>
        <v>2023</v>
      </c>
      <c r="H88" s="2" t="str">
        <f t="shared" si="7"/>
        <v>May</v>
      </c>
      <c r="I88" s="2">
        <f t="shared" si="8"/>
        <v>5</v>
      </c>
      <c r="J88" s="2" t="str">
        <f t="shared" si="9"/>
        <v>2023-05</v>
      </c>
      <c r="K88" s="2">
        <f t="shared" si="10"/>
        <v>18</v>
      </c>
      <c r="L88" s="2">
        <f ca="1">AVERAGE(OFFSET(USD_NGN_Historical_Data__17[[#This Row],[Rate]], -6, 0, 7, 1))</f>
        <v>459.95</v>
      </c>
      <c r="M88" s="2" t="str">
        <f t="shared" si="11"/>
        <v>Tue</v>
      </c>
    </row>
    <row r="89" spans="1:13" x14ac:dyDescent="0.35">
      <c r="A89" s="4">
        <v>45049</v>
      </c>
      <c r="B89" s="2">
        <v>459.85</v>
      </c>
      <c r="C89" s="2">
        <v>460.31</v>
      </c>
      <c r="D89" s="2">
        <v>460.35</v>
      </c>
      <c r="E89" s="2">
        <v>460.3</v>
      </c>
      <c r="F89" s="1">
        <v>1E-4</v>
      </c>
      <c r="G89" s="2">
        <f t="shared" si="6"/>
        <v>2023</v>
      </c>
      <c r="H89" s="2" t="str">
        <f t="shared" si="7"/>
        <v>May</v>
      </c>
      <c r="I89" s="2">
        <f t="shared" si="8"/>
        <v>5</v>
      </c>
      <c r="J89" s="2" t="str">
        <f t="shared" si="9"/>
        <v>2023-05</v>
      </c>
      <c r="K89" s="2">
        <f t="shared" si="10"/>
        <v>18</v>
      </c>
      <c r="L89" s="2">
        <f ca="1">AVERAGE(OFFSET(USD_NGN_Historical_Data__17[[#This Row],[Rate]], -6, 0, 7, 1))</f>
        <v>459.9242857142857</v>
      </c>
      <c r="M89" s="2" t="str">
        <f t="shared" si="11"/>
        <v>Wed</v>
      </c>
    </row>
    <row r="90" spans="1:13" x14ac:dyDescent="0.35">
      <c r="A90" s="4">
        <v>45050</v>
      </c>
      <c r="B90" s="2">
        <v>459.84</v>
      </c>
      <c r="C90" s="2">
        <v>460.35</v>
      </c>
      <c r="D90" s="2">
        <v>460.35</v>
      </c>
      <c r="E90" s="2">
        <v>460.32</v>
      </c>
      <c r="F90" s="1">
        <v>0</v>
      </c>
      <c r="G90" s="2">
        <f t="shared" si="6"/>
        <v>2023</v>
      </c>
      <c r="H90" s="2" t="str">
        <f t="shared" si="7"/>
        <v>May</v>
      </c>
      <c r="I90" s="2">
        <f t="shared" si="8"/>
        <v>5</v>
      </c>
      <c r="J90" s="2" t="str">
        <f t="shared" si="9"/>
        <v>2023-05</v>
      </c>
      <c r="K90" s="2">
        <f t="shared" si="10"/>
        <v>18</v>
      </c>
      <c r="L90" s="2">
        <f ca="1">AVERAGE(OFFSET(USD_NGN_Historical_Data__17[[#This Row],[Rate]], -6, 0, 7, 1))</f>
        <v>459.89714285714291</v>
      </c>
      <c r="M90" s="2" t="str">
        <f t="shared" si="11"/>
        <v>Thu</v>
      </c>
    </row>
    <row r="91" spans="1:13" x14ac:dyDescent="0.35">
      <c r="A91" s="4">
        <v>45051</v>
      </c>
      <c r="B91" s="2">
        <v>459.87</v>
      </c>
      <c r="C91" s="2">
        <v>460.34</v>
      </c>
      <c r="D91" s="2">
        <v>460.37</v>
      </c>
      <c r="E91" s="2">
        <v>460.33</v>
      </c>
      <c r="F91" s="1">
        <v>1E-4</v>
      </c>
      <c r="G91" s="2">
        <f t="shared" si="6"/>
        <v>2023</v>
      </c>
      <c r="H91" s="2" t="str">
        <f t="shared" si="7"/>
        <v>May</v>
      </c>
      <c r="I91" s="2">
        <f t="shared" si="8"/>
        <v>5</v>
      </c>
      <c r="J91" s="2" t="str">
        <f t="shared" si="9"/>
        <v>2023-05</v>
      </c>
      <c r="K91" s="2">
        <f t="shared" si="10"/>
        <v>18</v>
      </c>
      <c r="L91" s="2">
        <f ca="1">AVERAGE(OFFSET(USD_NGN_Historical_Data__17[[#This Row],[Rate]], -6, 0, 7, 1))</f>
        <v>459.88285714285712</v>
      </c>
      <c r="M91" s="2" t="str">
        <f t="shared" si="11"/>
        <v>Fri</v>
      </c>
    </row>
    <row r="92" spans="1:13" x14ac:dyDescent="0.35">
      <c r="A92" s="4">
        <v>45054</v>
      </c>
      <c r="B92" s="2">
        <v>460</v>
      </c>
      <c r="C92" s="2">
        <v>460.37</v>
      </c>
      <c r="D92" s="2">
        <v>461.5</v>
      </c>
      <c r="E92" s="2">
        <v>460.35</v>
      </c>
      <c r="F92" s="1">
        <v>2.9999999999999997E-4</v>
      </c>
      <c r="G92" s="2">
        <f t="shared" si="6"/>
        <v>2023</v>
      </c>
      <c r="H92" s="2" t="str">
        <f t="shared" si="7"/>
        <v>May</v>
      </c>
      <c r="I92" s="2">
        <f t="shared" si="8"/>
        <v>5</v>
      </c>
      <c r="J92" s="2" t="str">
        <f t="shared" si="9"/>
        <v>2023-05</v>
      </c>
      <c r="K92" s="2">
        <f t="shared" si="10"/>
        <v>19</v>
      </c>
      <c r="L92" s="2">
        <f ca="1">AVERAGE(OFFSET(USD_NGN_Historical_Data__17[[#This Row],[Rate]], -6, 0, 7, 1))</f>
        <v>459.88714285714286</v>
      </c>
      <c r="M92" s="2" t="str">
        <f t="shared" si="11"/>
        <v>Mon</v>
      </c>
    </row>
    <row r="93" spans="1:13" x14ac:dyDescent="0.35">
      <c r="A93" s="4">
        <v>45055</v>
      </c>
      <c r="B93" s="2">
        <v>459.94</v>
      </c>
      <c r="C93" s="2">
        <v>460.5</v>
      </c>
      <c r="D93" s="2">
        <v>460.52</v>
      </c>
      <c r="E93" s="2">
        <v>460.44</v>
      </c>
      <c r="F93" s="1">
        <v>-1E-4</v>
      </c>
      <c r="G93" s="2">
        <f t="shared" si="6"/>
        <v>2023</v>
      </c>
      <c r="H93" s="2" t="str">
        <f t="shared" si="7"/>
        <v>May</v>
      </c>
      <c r="I93" s="2">
        <f t="shared" si="8"/>
        <v>5</v>
      </c>
      <c r="J93" s="2" t="str">
        <f t="shared" si="9"/>
        <v>2023-05</v>
      </c>
      <c r="K93" s="2">
        <f t="shared" si="10"/>
        <v>19</v>
      </c>
      <c r="L93" s="2">
        <f ca="1">AVERAGE(OFFSET(USD_NGN_Historical_Data__17[[#This Row],[Rate]], -6, 0, 7, 1))</f>
        <v>459.88285714285718</v>
      </c>
      <c r="M93" s="2" t="str">
        <f t="shared" si="11"/>
        <v>Tue</v>
      </c>
    </row>
    <row r="94" spans="1:13" x14ac:dyDescent="0.35">
      <c r="A94" s="4">
        <v>45056</v>
      </c>
      <c r="B94" s="2">
        <v>460.06</v>
      </c>
      <c r="C94" s="2">
        <v>460.44</v>
      </c>
      <c r="D94" s="2">
        <v>460.56</v>
      </c>
      <c r="E94" s="2">
        <v>460.43</v>
      </c>
      <c r="F94" s="1">
        <v>2.9999999999999997E-4</v>
      </c>
      <c r="G94" s="2">
        <f t="shared" si="6"/>
        <v>2023</v>
      </c>
      <c r="H94" s="2" t="str">
        <f t="shared" si="7"/>
        <v>May</v>
      </c>
      <c r="I94" s="2">
        <f t="shared" si="8"/>
        <v>5</v>
      </c>
      <c r="J94" s="2" t="str">
        <f t="shared" si="9"/>
        <v>2023-05</v>
      </c>
      <c r="K94" s="2">
        <f t="shared" si="10"/>
        <v>19</v>
      </c>
      <c r="L94" s="2">
        <f ca="1">AVERAGE(OFFSET(USD_NGN_Historical_Data__17[[#This Row],[Rate]], -6, 0, 7, 1))</f>
        <v>459.90999999999997</v>
      </c>
      <c r="M94" s="2" t="str">
        <f t="shared" si="11"/>
        <v>Wed</v>
      </c>
    </row>
    <row r="95" spans="1:13" x14ac:dyDescent="0.35">
      <c r="A95" s="4">
        <v>45057</v>
      </c>
      <c r="B95" s="2">
        <v>460.07</v>
      </c>
      <c r="C95" s="2">
        <v>460.56</v>
      </c>
      <c r="D95" s="2">
        <v>462.5</v>
      </c>
      <c r="E95" s="2">
        <v>460.55</v>
      </c>
      <c r="F95" s="1">
        <v>0</v>
      </c>
      <c r="G95" s="2">
        <f t="shared" si="6"/>
        <v>2023</v>
      </c>
      <c r="H95" s="2" t="str">
        <f t="shared" si="7"/>
        <v>May</v>
      </c>
      <c r="I95" s="2">
        <f t="shared" si="8"/>
        <v>5</v>
      </c>
      <c r="J95" s="2" t="str">
        <f t="shared" si="9"/>
        <v>2023-05</v>
      </c>
      <c r="K95" s="2">
        <f t="shared" si="10"/>
        <v>19</v>
      </c>
      <c r="L95" s="2">
        <f ca="1">AVERAGE(OFFSET(USD_NGN_Historical_Data__17[[#This Row],[Rate]], -6, 0, 7, 1))</f>
        <v>459.94714285714286</v>
      </c>
      <c r="M95" s="2" t="str">
        <f t="shared" si="11"/>
        <v>Thu</v>
      </c>
    </row>
    <row r="96" spans="1:13" x14ac:dyDescent="0.35">
      <c r="A96" s="4">
        <v>45058</v>
      </c>
      <c r="B96" s="2">
        <v>460.03</v>
      </c>
      <c r="C96" s="2">
        <v>460.57</v>
      </c>
      <c r="D96" s="2">
        <v>460.57</v>
      </c>
      <c r="E96" s="2">
        <v>460.53</v>
      </c>
      <c r="F96" s="1">
        <v>-1E-4</v>
      </c>
      <c r="G96" s="2">
        <f t="shared" si="6"/>
        <v>2023</v>
      </c>
      <c r="H96" s="2" t="str">
        <f t="shared" si="7"/>
        <v>May</v>
      </c>
      <c r="I96" s="2">
        <f t="shared" si="8"/>
        <v>5</v>
      </c>
      <c r="J96" s="2" t="str">
        <f t="shared" si="9"/>
        <v>2023-05</v>
      </c>
      <c r="K96" s="2">
        <f t="shared" si="10"/>
        <v>19</v>
      </c>
      <c r="L96" s="2">
        <f ca="1">AVERAGE(OFFSET(USD_NGN_Historical_Data__17[[#This Row],[Rate]], -6, 0, 7, 1))</f>
        <v>459.97285714285721</v>
      </c>
      <c r="M96" s="2" t="str">
        <f t="shared" si="11"/>
        <v>Fri</v>
      </c>
    </row>
    <row r="97" spans="1:13" x14ac:dyDescent="0.35">
      <c r="A97" s="4">
        <v>45061</v>
      </c>
      <c r="B97" s="2">
        <v>460.03</v>
      </c>
      <c r="C97" s="2">
        <v>460.53</v>
      </c>
      <c r="D97" s="2">
        <v>462.5</v>
      </c>
      <c r="E97" s="2">
        <v>460.52</v>
      </c>
      <c r="F97" s="1">
        <v>0</v>
      </c>
      <c r="G97" s="2">
        <f t="shared" si="6"/>
        <v>2023</v>
      </c>
      <c r="H97" s="2" t="str">
        <f t="shared" si="7"/>
        <v>May</v>
      </c>
      <c r="I97" s="2">
        <f t="shared" si="8"/>
        <v>5</v>
      </c>
      <c r="J97" s="2" t="str">
        <f t="shared" si="9"/>
        <v>2023-05</v>
      </c>
      <c r="K97" s="2">
        <f t="shared" si="10"/>
        <v>20</v>
      </c>
      <c r="L97" s="2">
        <f ca="1">AVERAGE(OFFSET(USD_NGN_Historical_Data__17[[#This Row],[Rate]], -6, 0, 7, 1))</f>
        <v>460</v>
      </c>
      <c r="M97" s="2" t="str">
        <f t="shared" si="11"/>
        <v>Mon</v>
      </c>
    </row>
    <row r="98" spans="1:13" x14ac:dyDescent="0.35">
      <c r="A98" s="4">
        <v>45062</v>
      </c>
      <c r="B98" s="2">
        <v>460.07</v>
      </c>
      <c r="C98" s="2">
        <v>460.53</v>
      </c>
      <c r="D98" s="2">
        <v>460.57</v>
      </c>
      <c r="E98" s="2">
        <v>460.5</v>
      </c>
      <c r="F98" s="1">
        <v>1E-4</v>
      </c>
      <c r="G98" s="2">
        <f t="shared" si="6"/>
        <v>2023</v>
      </c>
      <c r="H98" s="2" t="str">
        <f t="shared" si="7"/>
        <v>May</v>
      </c>
      <c r="I98" s="2">
        <f t="shared" si="8"/>
        <v>5</v>
      </c>
      <c r="J98" s="2" t="str">
        <f t="shared" si="9"/>
        <v>2023-05</v>
      </c>
      <c r="K98" s="2">
        <f t="shared" si="10"/>
        <v>20</v>
      </c>
      <c r="L98" s="2">
        <f ca="1">AVERAGE(OFFSET(USD_NGN_Historical_Data__17[[#This Row],[Rate]], -6, 0, 7, 1))</f>
        <v>460.02857142857147</v>
      </c>
      <c r="M98" s="2" t="str">
        <f t="shared" si="11"/>
        <v>Tue</v>
      </c>
    </row>
    <row r="99" spans="1:13" x14ac:dyDescent="0.35">
      <c r="A99" s="4">
        <v>45063</v>
      </c>
      <c r="B99" s="2">
        <v>460.2</v>
      </c>
      <c r="C99" s="2">
        <v>460.57</v>
      </c>
      <c r="D99" s="2">
        <v>460.7</v>
      </c>
      <c r="E99" s="2">
        <v>460.57</v>
      </c>
      <c r="F99" s="1">
        <v>2.9999999999999997E-4</v>
      </c>
      <c r="G99" s="2">
        <f t="shared" si="6"/>
        <v>2023</v>
      </c>
      <c r="H99" s="2" t="str">
        <f t="shared" si="7"/>
        <v>May</v>
      </c>
      <c r="I99" s="2">
        <f t="shared" si="8"/>
        <v>5</v>
      </c>
      <c r="J99" s="2" t="str">
        <f t="shared" si="9"/>
        <v>2023-05</v>
      </c>
      <c r="K99" s="2">
        <f t="shared" si="10"/>
        <v>20</v>
      </c>
      <c r="L99" s="2">
        <f ca="1">AVERAGE(OFFSET(USD_NGN_Historical_Data__17[[#This Row],[Rate]], -6, 0, 7, 1))</f>
        <v>460.05714285714288</v>
      </c>
      <c r="M99" s="2" t="str">
        <f t="shared" si="11"/>
        <v>Wed</v>
      </c>
    </row>
    <row r="100" spans="1:13" x14ac:dyDescent="0.35">
      <c r="A100" s="4">
        <v>45064</v>
      </c>
      <c r="B100" s="2">
        <v>460.36</v>
      </c>
      <c r="C100" s="2">
        <v>460.7</v>
      </c>
      <c r="D100" s="2">
        <v>460.86</v>
      </c>
      <c r="E100" s="2">
        <v>460.7</v>
      </c>
      <c r="F100" s="1">
        <v>2.9999999999999997E-4</v>
      </c>
      <c r="G100" s="2">
        <f t="shared" si="6"/>
        <v>2023</v>
      </c>
      <c r="H100" s="2" t="str">
        <f t="shared" si="7"/>
        <v>May</v>
      </c>
      <c r="I100" s="2">
        <f t="shared" si="8"/>
        <v>5</v>
      </c>
      <c r="J100" s="2" t="str">
        <f t="shared" si="9"/>
        <v>2023-05</v>
      </c>
      <c r="K100" s="2">
        <f t="shared" si="10"/>
        <v>20</v>
      </c>
      <c r="L100" s="2">
        <f ca="1">AVERAGE(OFFSET(USD_NGN_Historical_Data__17[[#This Row],[Rate]], -6, 0, 7, 1))</f>
        <v>460.11714285714282</v>
      </c>
      <c r="M100" s="2" t="str">
        <f t="shared" si="11"/>
        <v>Thu</v>
      </c>
    </row>
    <row r="101" spans="1:13" x14ac:dyDescent="0.35">
      <c r="A101" s="4">
        <v>45065</v>
      </c>
      <c r="B101" s="2">
        <v>460.34</v>
      </c>
      <c r="C101" s="2">
        <v>460.86</v>
      </c>
      <c r="D101" s="2">
        <v>463.5</v>
      </c>
      <c r="E101" s="2">
        <v>460.84</v>
      </c>
      <c r="F101" s="1">
        <v>0</v>
      </c>
      <c r="G101" s="2">
        <f t="shared" si="6"/>
        <v>2023</v>
      </c>
      <c r="H101" s="2" t="str">
        <f t="shared" si="7"/>
        <v>May</v>
      </c>
      <c r="I101" s="2">
        <f t="shared" si="8"/>
        <v>5</v>
      </c>
      <c r="J101" s="2" t="str">
        <f t="shared" si="9"/>
        <v>2023-05</v>
      </c>
      <c r="K101" s="2">
        <f t="shared" si="10"/>
        <v>20</v>
      </c>
      <c r="L101" s="2">
        <f ca="1">AVERAGE(OFFSET(USD_NGN_Historical_Data__17[[#This Row],[Rate]], -6, 0, 7, 1))</f>
        <v>460.15714285714284</v>
      </c>
      <c r="M101" s="2" t="str">
        <f t="shared" si="11"/>
        <v>Fri</v>
      </c>
    </row>
    <row r="102" spans="1:13" x14ac:dyDescent="0.35">
      <c r="A102" s="4">
        <v>45068</v>
      </c>
      <c r="B102" s="2">
        <v>460.31</v>
      </c>
      <c r="C102" s="2">
        <v>460.84</v>
      </c>
      <c r="D102" s="2">
        <v>463.5</v>
      </c>
      <c r="E102" s="2">
        <v>460.81</v>
      </c>
      <c r="F102" s="1">
        <v>-1E-4</v>
      </c>
      <c r="G102" s="2">
        <f t="shared" si="6"/>
        <v>2023</v>
      </c>
      <c r="H102" s="2" t="str">
        <f t="shared" si="7"/>
        <v>May</v>
      </c>
      <c r="I102" s="2">
        <f t="shared" si="8"/>
        <v>5</v>
      </c>
      <c r="J102" s="2" t="str">
        <f t="shared" si="9"/>
        <v>2023-05</v>
      </c>
      <c r="K102" s="2">
        <f t="shared" si="10"/>
        <v>21</v>
      </c>
      <c r="L102" s="2">
        <f ca="1">AVERAGE(OFFSET(USD_NGN_Historical_Data__17[[#This Row],[Rate]], -6, 0, 7, 1))</f>
        <v>460.19142857142862</v>
      </c>
      <c r="M102" s="2" t="str">
        <f t="shared" si="11"/>
        <v>Mon</v>
      </c>
    </row>
    <row r="103" spans="1:13" x14ac:dyDescent="0.35">
      <c r="A103" s="4">
        <v>45069</v>
      </c>
      <c r="B103" s="2">
        <v>460.28</v>
      </c>
      <c r="C103" s="2">
        <v>460.81</v>
      </c>
      <c r="D103" s="2">
        <v>460.81</v>
      </c>
      <c r="E103" s="2">
        <v>460.78</v>
      </c>
      <c r="F103" s="1">
        <v>-1E-4</v>
      </c>
      <c r="G103" s="2">
        <f t="shared" si="6"/>
        <v>2023</v>
      </c>
      <c r="H103" s="2" t="str">
        <f t="shared" si="7"/>
        <v>May</v>
      </c>
      <c r="I103" s="2">
        <f t="shared" si="8"/>
        <v>5</v>
      </c>
      <c r="J103" s="2" t="str">
        <f t="shared" si="9"/>
        <v>2023-05</v>
      </c>
      <c r="K103" s="2">
        <f t="shared" si="10"/>
        <v>21</v>
      </c>
      <c r="L103" s="2">
        <f ca="1">AVERAGE(OFFSET(USD_NGN_Historical_Data__17[[#This Row],[Rate]], -6, 0, 7, 1))</f>
        <v>460.22714285714289</v>
      </c>
      <c r="M103" s="2" t="str">
        <f t="shared" si="11"/>
        <v>Tue</v>
      </c>
    </row>
    <row r="104" spans="1:13" x14ac:dyDescent="0.35">
      <c r="A104" s="4">
        <v>45070</v>
      </c>
      <c r="B104" s="2">
        <v>460.28</v>
      </c>
      <c r="C104" s="2">
        <v>460.78</v>
      </c>
      <c r="D104" s="2">
        <v>465.5</v>
      </c>
      <c r="E104" s="2">
        <v>460.5</v>
      </c>
      <c r="F104" s="1">
        <v>0</v>
      </c>
      <c r="G104" s="2">
        <f t="shared" si="6"/>
        <v>2023</v>
      </c>
      <c r="H104" s="2" t="str">
        <f t="shared" si="7"/>
        <v>May</v>
      </c>
      <c r="I104" s="2">
        <f t="shared" si="8"/>
        <v>5</v>
      </c>
      <c r="J104" s="2" t="str">
        <f t="shared" si="9"/>
        <v>2023-05</v>
      </c>
      <c r="K104" s="2">
        <f t="shared" si="10"/>
        <v>21</v>
      </c>
      <c r="L104" s="2">
        <f ca="1">AVERAGE(OFFSET(USD_NGN_Historical_Data__17[[#This Row],[Rate]], -6, 0, 7, 1))</f>
        <v>460.26285714285717</v>
      </c>
      <c r="M104" s="2" t="str">
        <f t="shared" si="11"/>
        <v>Wed</v>
      </c>
    </row>
    <row r="105" spans="1:13" x14ac:dyDescent="0.35">
      <c r="A105" s="4">
        <v>45071</v>
      </c>
      <c r="B105" s="2">
        <v>460.31</v>
      </c>
      <c r="C105" s="2">
        <v>460.78</v>
      </c>
      <c r="D105" s="2">
        <v>464.5</v>
      </c>
      <c r="E105" s="2">
        <v>460.75</v>
      </c>
      <c r="F105" s="1">
        <v>1E-4</v>
      </c>
      <c r="G105" s="2">
        <f t="shared" si="6"/>
        <v>2023</v>
      </c>
      <c r="H105" s="2" t="str">
        <f t="shared" si="7"/>
        <v>May</v>
      </c>
      <c r="I105" s="2">
        <f t="shared" si="8"/>
        <v>5</v>
      </c>
      <c r="J105" s="2" t="str">
        <f t="shared" si="9"/>
        <v>2023-05</v>
      </c>
      <c r="K105" s="2">
        <f t="shared" si="10"/>
        <v>21</v>
      </c>
      <c r="L105" s="2">
        <f ca="1">AVERAGE(OFFSET(USD_NGN_Historical_Data__17[[#This Row],[Rate]], -6, 0, 7, 1))</f>
        <v>460.29714285714277</v>
      </c>
      <c r="M105" s="2" t="str">
        <f t="shared" si="11"/>
        <v>Thu</v>
      </c>
    </row>
    <row r="106" spans="1:13" x14ac:dyDescent="0.35">
      <c r="A106" s="4">
        <v>45072</v>
      </c>
      <c r="B106" s="2">
        <v>460.3</v>
      </c>
      <c r="C106" s="2">
        <v>460.81</v>
      </c>
      <c r="D106" s="2">
        <v>460.81</v>
      </c>
      <c r="E106" s="2">
        <v>460.8</v>
      </c>
      <c r="F106" s="1">
        <v>0</v>
      </c>
      <c r="G106" s="2">
        <f t="shared" si="6"/>
        <v>2023</v>
      </c>
      <c r="H106" s="2" t="str">
        <f t="shared" si="7"/>
        <v>May</v>
      </c>
      <c r="I106" s="2">
        <f t="shared" si="8"/>
        <v>5</v>
      </c>
      <c r="J106" s="2" t="str">
        <f t="shared" si="9"/>
        <v>2023-05</v>
      </c>
      <c r="K106" s="2">
        <f t="shared" si="10"/>
        <v>21</v>
      </c>
      <c r="L106" s="2">
        <f ca="1">AVERAGE(OFFSET(USD_NGN_Historical_Data__17[[#This Row],[Rate]], -6, 0, 7, 1))</f>
        <v>460.31142857142856</v>
      </c>
      <c r="M106" s="2" t="str">
        <f t="shared" si="11"/>
        <v>Fri</v>
      </c>
    </row>
    <row r="107" spans="1:13" x14ac:dyDescent="0.35">
      <c r="A107" s="4">
        <v>45075</v>
      </c>
      <c r="B107" s="2">
        <v>460.25</v>
      </c>
      <c r="C107" s="2">
        <v>460.75</v>
      </c>
      <c r="D107" s="2">
        <v>460.75</v>
      </c>
      <c r="E107" s="2">
        <v>460.75</v>
      </c>
      <c r="F107" s="1">
        <v>-1E-4</v>
      </c>
      <c r="G107" s="2">
        <f t="shared" si="6"/>
        <v>2023</v>
      </c>
      <c r="H107" s="2" t="str">
        <f t="shared" si="7"/>
        <v>May</v>
      </c>
      <c r="I107" s="2">
        <f t="shared" si="8"/>
        <v>5</v>
      </c>
      <c r="J107" s="2" t="str">
        <f t="shared" si="9"/>
        <v>2023-05</v>
      </c>
      <c r="K107" s="2">
        <f t="shared" si="10"/>
        <v>22</v>
      </c>
      <c r="L107" s="2">
        <f ca="1">AVERAGE(OFFSET(USD_NGN_Historical_Data__17[[#This Row],[Rate]], -6, 0, 7, 1))</f>
        <v>460.29571428571433</v>
      </c>
      <c r="M107" s="2" t="str">
        <f t="shared" si="11"/>
        <v>Mon</v>
      </c>
    </row>
    <row r="108" spans="1:13" x14ac:dyDescent="0.35">
      <c r="A108" s="4">
        <v>45076</v>
      </c>
      <c r="B108" s="2">
        <v>460.45</v>
      </c>
      <c r="C108" s="2">
        <v>460.75</v>
      </c>
      <c r="D108" s="2">
        <v>464.5</v>
      </c>
      <c r="E108" s="2">
        <v>460.71</v>
      </c>
      <c r="F108" s="1">
        <v>4.0000000000000002E-4</v>
      </c>
      <c r="G108" s="2">
        <f t="shared" si="6"/>
        <v>2023</v>
      </c>
      <c r="H108" s="2" t="str">
        <f t="shared" si="7"/>
        <v>May</v>
      </c>
      <c r="I108" s="2">
        <f t="shared" si="8"/>
        <v>5</v>
      </c>
      <c r="J108" s="2" t="str">
        <f t="shared" si="9"/>
        <v>2023-05</v>
      </c>
      <c r="K108" s="2">
        <f t="shared" si="10"/>
        <v>22</v>
      </c>
      <c r="L108" s="2">
        <f ca="1">AVERAGE(OFFSET(USD_NGN_Historical_Data__17[[#This Row],[Rate]], -6, 0, 7, 1))</f>
        <v>460.31142857142856</v>
      </c>
      <c r="M108" s="2" t="str">
        <f t="shared" si="11"/>
        <v>Tue</v>
      </c>
    </row>
    <row r="109" spans="1:13" x14ac:dyDescent="0.35">
      <c r="A109" s="4">
        <v>45077</v>
      </c>
      <c r="B109" s="2">
        <v>460.6</v>
      </c>
      <c r="C109" s="2">
        <v>460.95</v>
      </c>
      <c r="D109" s="2">
        <v>461.1</v>
      </c>
      <c r="E109" s="2">
        <v>460.95</v>
      </c>
      <c r="F109" s="1">
        <v>2.9999999999999997E-4</v>
      </c>
      <c r="G109" s="2">
        <f t="shared" si="6"/>
        <v>2023</v>
      </c>
      <c r="H109" s="2" t="str">
        <f t="shared" si="7"/>
        <v>May</v>
      </c>
      <c r="I109" s="2">
        <f t="shared" si="8"/>
        <v>5</v>
      </c>
      <c r="J109" s="2" t="str">
        <f t="shared" si="9"/>
        <v>2023-05</v>
      </c>
      <c r="K109" s="2">
        <f t="shared" si="10"/>
        <v>22</v>
      </c>
      <c r="L109" s="2">
        <f ca="1">AVERAGE(OFFSET(USD_NGN_Historical_Data__17[[#This Row],[Rate]], -6, 0, 7, 1))</f>
        <v>460.35285714285709</v>
      </c>
      <c r="M109" s="2" t="str">
        <f t="shared" si="11"/>
        <v>Wed</v>
      </c>
    </row>
    <row r="110" spans="1:13" x14ac:dyDescent="0.35">
      <c r="A110" s="4">
        <v>45078</v>
      </c>
      <c r="B110" s="2">
        <v>460.76</v>
      </c>
      <c r="C110" s="2">
        <v>461.1</v>
      </c>
      <c r="D110" s="2">
        <v>465.5</v>
      </c>
      <c r="E110" s="2">
        <v>461.1</v>
      </c>
      <c r="F110" s="1">
        <v>2.9999999999999997E-4</v>
      </c>
      <c r="G110" s="2">
        <f t="shared" si="6"/>
        <v>2023</v>
      </c>
      <c r="H110" s="2" t="str">
        <f t="shared" si="7"/>
        <v>Jun</v>
      </c>
      <c r="I110" s="2">
        <f t="shared" si="8"/>
        <v>6</v>
      </c>
      <c r="J110" s="2" t="str">
        <f t="shared" si="9"/>
        <v>2023-06</v>
      </c>
      <c r="K110" s="2">
        <f t="shared" si="10"/>
        <v>22</v>
      </c>
      <c r="L110" s="2">
        <f ca="1">AVERAGE(OFFSET(USD_NGN_Historical_Data__17[[#This Row],[Rate]], -6, 0, 7, 1))</f>
        <v>460.42142857142852</v>
      </c>
      <c r="M110" s="2" t="str">
        <f t="shared" si="11"/>
        <v>Thu</v>
      </c>
    </row>
    <row r="111" spans="1:13" x14ac:dyDescent="0.35">
      <c r="A111" s="4">
        <v>45079</v>
      </c>
      <c r="B111" s="2">
        <v>460.92</v>
      </c>
      <c r="C111" s="2">
        <v>461.26</v>
      </c>
      <c r="D111" s="2">
        <v>461.42</v>
      </c>
      <c r="E111" s="2">
        <v>461.25</v>
      </c>
      <c r="F111" s="1">
        <v>2.9999999999999997E-4</v>
      </c>
      <c r="G111" s="2">
        <f t="shared" si="6"/>
        <v>2023</v>
      </c>
      <c r="H111" s="2" t="str">
        <f t="shared" si="7"/>
        <v>Jun</v>
      </c>
      <c r="I111" s="2">
        <f t="shared" si="8"/>
        <v>6</v>
      </c>
      <c r="J111" s="2" t="str">
        <f t="shared" si="9"/>
        <v>2023-06</v>
      </c>
      <c r="K111" s="2">
        <f t="shared" si="10"/>
        <v>22</v>
      </c>
      <c r="L111" s="2">
        <f ca="1">AVERAGE(OFFSET(USD_NGN_Historical_Data__17[[#This Row],[Rate]], -6, 0, 7, 1))</f>
        <v>460.51285714285717</v>
      </c>
      <c r="M111" s="2" t="str">
        <f t="shared" si="11"/>
        <v>Fri</v>
      </c>
    </row>
    <row r="112" spans="1:13" x14ac:dyDescent="0.35">
      <c r="A112" s="4">
        <v>45082</v>
      </c>
      <c r="B112" s="2">
        <v>461.05</v>
      </c>
      <c r="C112" s="2">
        <v>461.42</v>
      </c>
      <c r="D112" s="2">
        <v>464.5</v>
      </c>
      <c r="E112" s="2">
        <v>460.5</v>
      </c>
      <c r="F112" s="1">
        <v>2.9999999999999997E-4</v>
      </c>
      <c r="G112" s="2">
        <f t="shared" si="6"/>
        <v>2023</v>
      </c>
      <c r="H112" s="2" t="str">
        <f t="shared" si="7"/>
        <v>Jun</v>
      </c>
      <c r="I112" s="2">
        <f t="shared" si="8"/>
        <v>6</v>
      </c>
      <c r="J112" s="2" t="str">
        <f t="shared" si="9"/>
        <v>2023-06</v>
      </c>
      <c r="K112" s="2">
        <f t="shared" si="10"/>
        <v>23</v>
      </c>
      <c r="L112" s="2">
        <f ca="1">AVERAGE(OFFSET(USD_NGN_Historical_Data__17[[#This Row],[Rate]], -6, 0, 7, 1))</f>
        <v>460.61857142857144</v>
      </c>
      <c r="M112" s="2" t="str">
        <f t="shared" si="11"/>
        <v>Mon</v>
      </c>
    </row>
    <row r="113" spans="1:13" x14ac:dyDescent="0.35">
      <c r="A113" s="4">
        <v>45083</v>
      </c>
      <c r="B113" s="2">
        <v>461.18</v>
      </c>
      <c r="C113" s="2">
        <v>461.55</v>
      </c>
      <c r="D113" s="2">
        <v>466</v>
      </c>
      <c r="E113" s="2">
        <v>461.52</v>
      </c>
      <c r="F113" s="1">
        <v>2.9999999999999997E-4</v>
      </c>
      <c r="G113" s="2">
        <f t="shared" si="6"/>
        <v>2023</v>
      </c>
      <c r="H113" s="2" t="str">
        <f t="shared" si="7"/>
        <v>Jun</v>
      </c>
      <c r="I113" s="2">
        <f t="shared" si="8"/>
        <v>6</v>
      </c>
      <c r="J113" s="2" t="str">
        <f t="shared" si="9"/>
        <v>2023-06</v>
      </c>
      <c r="K113" s="2">
        <f t="shared" si="10"/>
        <v>23</v>
      </c>
      <c r="L113" s="2">
        <f ca="1">AVERAGE(OFFSET(USD_NGN_Historical_Data__17[[#This Row],[Rate]], -6, 0, 7, 1))</f>
        <v>460.7442857142857</v>
      </c>
      <c r="M113" s="2" t="str">
        <f t="shared" si="11"/>
        <v>Tue</v>
      </c>
    </row>
    <row r="114" spans="1:13" x14ac:dyDescent="0.35">
      <c r="A114" s="4">
        <v>45084</v>
      </c>
      <c r="B114" s="2">
        <v>461.18</v>
      </c>
      <c r="C114" s="2">
        <v>461.68</v>
      </c>
      <c r="D114" s="2">
        <v>474.5</v>
      </c>
      <c r="E114" s="2">
        <v>461.65</v>
      </c>
      <c r="F114" s="1">
        <v>0</v>
      </c>
      <c r="G114" s="2">
        <f t="shared" si="6"/>
        <v>2023</v>
      </c>
      <c r="H114" s="2" t="str">
        <f t="shared" si="7"/>
        <v>Jun</v>
      </c>
      <c r="I114" s="2">
        <f t="shared" si="8"/>
        <v>6</v>
      </c>
      <c r="J114" s="2" t="str">
        <f t="shared" si="9"/>
        <v>2023-06</v>
      </c>
      <c r="K114" s="2">
        <f t="shared" si="10"/>
        <v>23</v>
      </c>
      <c r="L114" s="2">
        <f ca="1">AVERAGE(OFFSET(USD_NGN_Historical_Data__17[[#This Row],[Rate]], -6, 0, 7, 1))</f>
        <v>460.87714285714281</v>
      </c>
      <c r="M114" s="2" t="str">
        <f t="shared" si="11"/>
        <v>Wed</v>
      </c>
    </row>
    <row r="115" spans="1:13" x14ac:dyDescent="0.35">
      <c r="A115" s="4">
        <v>45085</v>
      </c>
      <c r="B115" s="2">
        <v>461.67</v>
      </c>
      <c r="C115" s="2">
        <v>461.68</v>
      </c>
      <c r="D115" s="2">
        <v>466</v>
      </c>
      <c r="E115" s="2">
        <v>461.68</v>
      </c>
      <c r="F115" s="1">
        <v>1.1000000000000001E-3</v>
      </c>
      <c r="G115" s="2">
        <f t="shared" si="6"/>
        <v>2023</v>
      </c>
      <c r="H115" s="2" t="str">
        <f t="shared" si="7"/>
        <v>Jun</v>
      </c>
      <c r="I115" s="2">
        <f t="shared" si="8"/>
        <v>6</v>
      </c>
      <c r="J115" s="2" t="str">
        <f t="shared" si="9"/>
        <v>2023-06</v>
      </c>
      <c r="K115" s="2">
        <f t="shared" si="10"/>
        <v>23</v>
      </c>
      <c r="L115" s="2">
        <f ca="1">AVERAGE(OFFSET(USD_NGN_Historical_Data__17[[#This Row],[Rate]], -6, 0, 7, 1))</f>
        <v>461.05142857142852</v>
      </c>
      <c r="M115" s="2" t="str">
        <f t="shared" si="11"/>
        <v>Thu</v>
      </c>
    </row>
    <row r="116" spans="1:13" x14ac:dyDescent="0.35">
      <c r="A116" s="4">
        <v>45086</v>
      </c>
      <c r="B116" s="2">
        <v>461.9</v>
      </c>
      <c r="C116" s="2">
        <v>462.17</v>
      </c>
      <c r="D116" s="2">
        <v>466</v>
      </c>
      <c r="E116" s="2">
        <v>462.17</v>
      </c>
      <c r="F116" s="1">
        <v>5.0000000000000001E-4</v>
      </c>
      <c r="G116" s="2">
        <f t="shared" si="6"/>
        <v>2023</v>
      </c>
      <c r="H116" s="2" t="str">
        <f t="shared" si="7"/>
        <v>Jun</v>
      </c>
      <c r="I116" s="2">
        <f t="shared" si="8"/>
        <v>6</v>
      </c>
      <c r="J116" s="2" t="str">
        <f t="shared" si="9"/>
        <v>2023-06</v>
      </c>
      <c r="K116" s="2">
        <f t="shared" si="10"/>
        <v>23</v>
      </c>
      <c r="L116" s="2">
        <f ca="1">AVERAGE(OFFSET(USD_NGN_Historical_Data__17[[#This Row],[Rate]], -6, 0, 7, 1))</f>
        <v>461.23714285714289</v>
      </c>
      <c r="M116" s="2" t="str">
        <f t="shared" si="11"/>
        <v>Fri</v>
      </c>
    </row>
    <row r="117" spans="1:13" x14ac:dyDescent="0.35">
      <c r="A117" s="4">
        <v>45089</v>
      </c>
      <c r="B117" s="2">
        <v>461.9</v>
      </c>
      <c r="C117" s="2">
        <v>462.4</v>
      </c>
      <c r="D117" s="2">
        <v>462.45</v>
      </c>
      <c r="E117" s="2">
        <v>462.4</v>
      </c>
      <c r="F117" s="1">
        <v>0</v>
      </c>
      <c r="G117" s="2">
        <f t="shared" si="6"/>
        <v>2023</v>
      </c>
      <c r="H117" s="2" t="str">
        <f t="shared" si="7"/>
        <v>Jun</v>
      </c>
      <c r="I117" s="2">
        <f t="shared" si="8"/>
        <v>6</v>
      </c>
      <c r="J117" s="2" t="str">
        <f t="shared" si="9"/>
        <v>2023-06</v>
      </c>
      <c r="K117" s="2">
        <f t="shared" si="10"/>
        <v>24</v>
      </c>
      <c r="L117" s="2">
        <f ca="1">AVERAGE(OFFSET(USD_NGN_Historical_Data__17[[#This Row],[Rate]], -6, 0, 7, 1))</f>
        <v>461.40000000000003</v>
      </c>
      <c r="M117" s="2" t="str">
        <f t="shared" si="11"/>
        <v>Mon</v>
      </c>
    </row>
    <row r="118" spans="1:13" x14ac:dyDescent="0.35">
      <c r="A118" s="4">
        <v>45090</v>
      </c>
      <c r="B118" s="2">
        <v>462.38</v>
      </c>
      <c r="C118" s="2">
        <v>462.4</v>
      </c>
      <c r="D118" s="2">
        <v>474.5</v>
      </c>
      <c r="E118" s="2">
        <v>462.38</v>
      </c>
      <c r="F118" s="1">
        <v>1E-3</v>
      </c>
      <c r="G118" s="2">
        <f t="shared" si="6"/>
        <v>2023</v>
      </c>
      <c r="H118" s="2" t="str">
        <f t="shared" si="7"/>
        <v>Jun</v>
      </c>
      <c r="I118" s="2">
        <f t="shared" si="8"/>
        <v>6</v>
      </c>
      <c r="J118" s="2" t="str">
        <f t="shared" si="9"/>
        <v>2023-06</v>
      </c>
      <c r="K118" s="2">
        <f t="shared" si="10"/>
        <v>24</v>
      </c>
      <c r="L118" s="2">
        <f ca="1">AVERAGE(OFFSET(USD_NGN_Historical_Data__17[[#This Row],[Rate]], -6, 0, 7, 1))</f>
        <v>461.60857142857145</v>
      </c>
      <c r="M118" s="2" t="str">
        <f t="shared" si="11"/>
        <v>Tue</v>
      </c>
    </row>
    <row r="119" spans="1:13" x14ac:dyDescent="0.35">
      <c r="A119" s="4">
        <v>45091</v>
      </c>
      <c r="B119" s="2">
        <v>620.20000000000005</v>
      </c>
      <c r="C119" s="2">
        <v>462.88</v>
      </c>
      <c r="D119" s="2">
        <v>665</v>
      </c>
      <c r="E119" s="2">
        <v>462.88</v>
      </c>
      <c r="F119" s="1">
        <v>0.34129999999999999</v>
      </c>
      <c r="G119" s="2">
        <f t="shared" si="6"/>
        <v>2023</v>
      </c>
      <c r="H119" s="2" t="str">
        <f t="shared" si="7"/>
        <v>Jun</v>
      </c>
      <c r="I119" s="2">
        <f t="shared" si="8"/>
        <v>6</v>
      </c>
      <c r="J119" s="2" t="str">
        <f t="shared" si="9"/>
        <v>2023-06</v>
      </c>
      <c r="K119" s="2">
        <f t="shared" si="10"/>
        <v>24</v>
      </c>
      <c r="L119" s="2">
        <f ca="1">AVERAGE(OFFSET(USD_NGN_Historical_Data__17[[#This Row],[Rate]], -6, 0, 7, 1))</f>
        <v>484.34428571428572</v>
      </c>
      <c r="M119" s="2" t="str">
        <f t="shared" si="11"/>
        <v>Wed</v>
      </c>
    </row>
    <row r="120" spans="1:13" x14ac:dyDescent="0.35">
      <c r="A120" s="4">
        <v>45092</v>
      </c>
      <c r="B120" s="2">
        <v>620.5</v>
      </c>
      <c r="C120" s="2">
        <v>620.20000000000005</v>
      </c>
      <c r="D120" s="2">
        <v>659</v>
      </c>
      <c r="E120" s="2">
        <v>600.5</v>
      </c>
      <c r="F120" s="1">
        <v>5.0000000000000001E-4</v>
      </c>
      <c r="G120" s="2">
        <f t="shared" si="6"/>
        <v>2023</v>
      </c>
      <c r="H120" s="2" t="str">
        <f t="shared" si="7"/>
        <v>Jun</v>
      </c>
      <c r="I120" s="2">
        <f t="shared" si="8"/>
        <v>6</v>
      </c>
      <c r="J120" s="2" t="str">
        <f t="shared" si="9"/>
        <v>2023-06</v>
      </c>
      <c r="K120" s="2">
        <f t="shared" si="10"/>
        <v>24</v>
      </c>
      <c r="L120" s="2">
        <f ca="1">AVERAGE(OFFSET(USD_NGN_Historical_Data__17[[#This Row],[Rate]], -6, 0, 7, 1))</f>
        <v>507.10428571428577</v>
      </c>
      <c r="M120" s="2" t="str">
        <f t="shared" si="11"/>
        <v>Thu</v>
      </c>
    </row>
    <row r="121" spans="1:13" x14ac:dyDescent="0.35">
      <c r="A121" s="4">
        <v>45093</v>
      </c>
      <c r="B121" s="2">
        <v>655</v>
      </c>
      <c r="C121" s="2">
        <v>620.5</v>
      </c>
      <c r="D121" s="2">
        <v>665.5</v>
      </c>
      <c r="E121" s="2">
        <v>590.95000000000005</v>
      </c>
      <c r="F121" s="1">
        <v>5.5599999999999997E-2</v>
      </c>
      <c r="G121" s="2">
        <f t="shared" si="6"/>
        <v>2023</v>
      </c>
      <c r="H121" s="2" t="str">
        <f t="shared" si="7"/>
        <v>Jun</v>
      </c>
      <c r="I121" s="2">
        <f t="shared" si="8"/>
        <v>6</v>
      </c>
      <c r="J121" s="2" t="str">
        <f t="shared" si="9"/>
        <v>2023-06</v>
      </c>
      <c r="K121" s="2">
        <f t="shared" si="10"/>
        <v>24</v>
      </c>
      <c r="L121" s="2">
        <f ca="1">AVERAGE(OFFSET(USD_NGN_Historical_Data__17[[#This Row],[Rate]], -6, 0, 7, 1))</f>
        <v>534.7928571428572</v>
      </c>
      <c r="M121" s="2" t="str">
        <f t="shared" si="11"/>
        <v>Fri</v>
      </c>
    </row>
    <row r="122" spans="1:13" x14ac:dyDescent="0.35">
      <c r="A122" s="4">
        <v>45096</v>
      </c>
      <c r="B122" s="2">
        <v>686.96</v>
      </c>
      <c r="C122" s="2">
        <v>656.5</v>
      </c>
      <c r="D122" s="2">
        <v>687.46</v>
      </c>
      <c r="E122" s="2">
        <v>650.5</v>
      </c>
      <c r="F122" s="1">
        <v>4.8800000000000003E-2</v>
      </c>
      <c r="G122" s="2">
        <f t="shared" si="6"/>
        <v>2023</v>
      </c>
      <c r="H122" s="2" t="str">
        <f t="shared" si="7"/>
        <v>Jun</v>
      </c>
      <c r="I122" s="2">
        <f t="shared" si="8"/>
        <v>6</v>
      </c>
      <c r="J122" s="2" t="str">
        <f t="shared" si="9"/>
        <v>2023-06</v>
      </c>
      <c r="K122" s="2">
        <f t="shared" si="10"/>
        <v>25</v>
      </c>
      <c r="L122" s="2">
        <f ca="1">AVERAGE(OFFSET(USD_NGN_Historical_Data__17[[#This Row],[Rate]], -6, 0, 7, 1))</f>
        <v>566.97714285714289</v>
      </c>
      <c r="M122" s="2" t="str">
        <f t="shared" si="11"/>
        <v>Mon</v>
      </c>
    </row>
    <row r="123" spans="1:13" x14ac:dyDescent="0.35">
      <c r="A123" s="4">
        <v>45097</v>
      </c>
      <c r="B123" s="2">
        <v>689</v>
      </c>
      <c r="C123" s="2">
        <v>680</v>
      </c>
      <c r="D123" s="2">
        <v>691</v>
      </c>
      <c r="E123" s="2">
        <v>680</v>
      </c>
      <c r="F123" s="1">
        <v>3.0000000000000001E-3</v>
      </c>
      <c r="G123" s="2">
        <f t="shared" si="6"/>
        <v>2023</v>
      </c>
      <c r="H123" s="2" t="str">
        <f t="shared" si="7"/>
        <v>Jun</v>
      </c>
      <c r="I123" s="2">
        <f t="shared" si="8"/>
        <v>6</v>
      </c>
      <c r="J123" s="2" t="str">
        <f t="shared" si="9"/>
        <v>2023-06</v>
      </c>
      <c r="K123" s="2">
        <f t="shared" si="10"/>
        <v>25</v>
      </c>
      <c r="L123" s="2">
        <f ca="1">AVERAGE(OFFSET(USD_NGN_Historical_Data__17[[#This Row],[Rate]], -6, 0, 7, 1))</f>
        <v>599.42000000000007</v>
      </c>
      <c r="M123" s="2" t="str">
        <f t="shared" si="11"/>
        <v>Tue</v>
      </c>
    </row>
    <row r="124" spans="1:13" x14ac:dyDescent="0.35">
      <c r="A124" s="4">
        <v>45098</v>
      </c>
      <c r="B124" s="2">
        <v>745</v>
      </c>
      <c r="C124" s="2">
        <v>690.5</v>
      </c>
      <c r="D124" s="2">
        <v>750</v>
      </c>
      <c r="E124" s="2">
        <v>690.5</v>
      </c>
      <c r="F124" s="1">
        <v>8.1299999999999997E-2</v>
      </c>
      <c r="G124" s="2">
        <f t="shared" si="6"/>
        <v>2023</v>
      </c>
      <c r="H124" s="2" t="str">
        <f t="shared" si="7"/>
        <v>Jun</v>
      </c>
      <c r="I124" s="2">
        <f t="shared" si="8"/>
        <v>6</v>
      </c>
      <c r="J124" s="2" t="str">
        <f t="shared" si="9"/>
        <v>2023-06</v>
      </c>
      <c r="K124" s="2">
        <f t="shared" si="10"/>
        <v>25</v>
      </c>
      <c r="L124" s="2">
        <f ca="1">AVERAGE(OFFSET(USD_NGN_Historical_Data__17[[#This Row],[Rate]], -6, 0, 7, 1))</f>
        <v>639.86285714285714</v>
      </c>
      <c r="M124" s="2" t="str">
        <f t="shared" si="11"/>
        <v>Wed</v>
      </c>
    </row>
    <row r="125" spans="1:13" x14ac:dyDescent="0.35">
      <c r="A125" s="4">
        <v>45099</v>
      </c>
      <c r="B125" s="2">
        <v>745</v>
      </c>
      <c r="C125" s="2">
        <v>746.5</v>
      </c>
      <c r="D125" s="2">
        <v>752</v>
      </c>
      <c r="E125" s="2">
        <v>730.5</v>
      </c>
      <c r="F125" s="1">
        <v>0</v>
      </c>
      <c r="G125" s="2">
        <f t="shared" si="6"/>
        <v>2023</v>
      </c>
      <c r="H125" s="2" t="str">
        <f t="shared" si="7"/>
        <v>Jun</v>
      </c>
      <c r="I125" s="2">
        <f t="shared" si="8"/>
        <v>6</v>
      </c>
      <c r="J125" s="2" t="str">
        <f t="shared" si="9"/>
        <v>2023-06</v>
      </c>
      <c r="K125" s="2">
        <f t="shared" si="10"/>
        <v>25</v>
      </c>
      <c r="L125" s="2">
        <f ca="1">AVERAGE(OFFSET(USD_NGN_Historical_Data__17[[#This Row],[Rate]], -6, 0, 7, 1))</f>
        <v>680.23714285714289</v>
      </c>
      <c r="M125" s="2" t="str">
        <f t="shared" si="11"/>
        <v>Thu</v>
      </c>
    </row>
    <row r="126" spans="1:13" x14ac:dyDescent="0.35">
      <c r="A126" s="4">
        <v>45100</v>
      </c>
      <c r="B126" s="2">
        <v>760</v>
      </c>
      <c r="C126" s="2">
        <v>760</v>
      </c>
      <c r="D126" s="2">
        <v>765.5</v>
      </c>
      <c r="E126" s="2">
        <v>733.29</v>
      </c>
      <c r="F126" s="1">
        <v>2.01E-2</v>
      </c>
      <c r="G126" s="2">
        <f t="shared" si="6"/>
        <v>2023</v>
      </c>
      <c r="H126" s="2" t="str">
        <f t="shared" si="7"/>
        <v>Jun</v>
      </c>
      <c r="I126" s="2">
        <f t="shared" si="8"/>
        <v>6</v>
      </c>
      <c r="J126" s="2" t="str">
        <f t="shared" si="9"/>
        <v>2023-06</v>
      </c>
      <c r="K126" s="2">
        <f t="shared" si="10"/>
        <v>25</v>
      </c>
      <c r="L126" s="2">
        <f ca="1">AVERAGE(OFFSET(USD_NGN_Historical_Data__17[[#This Row],[Rate]], -6, 0, 7, 1))</f>
        <v>700.20857142857142</v>
      </c>
      <c r="M126" s="2" t="str">
        <f t="shared" si="11"/>
        <v>Fri</v>
      </c>
    </row>
    <row r="127" spans="1:13" x14ac:dyDescent="0.35">
      <c r="A127" s="4">
        <v>45103</v>
      </c>
      <c r="B127" s="2">
        <v>742.25</v>
      </c>
      <c r="C127" s="2">
        <v>761.5</v>
      </c>
      <c r="D127" s="2">
        <v>770.5</v>
      </c>
      <c r="E127" s="2">
        <v>743.75</v>
      </c>
      <c r="F127" s="1">
        <v>-2.3400000000000001E-2</v>
      </c>
      <c r="G127" s="2">
        <f t="shared" si="6"/>
        <v>2023</v>
      </c>
      <c r="H127" s="2" t="str">
        <f t="shared" si="7"/>
        <v>Jun</v>
      </c>
      <c r="I127" s="2">
        <f t="shared" si="8"/>
        <v>6</v>
      </c>
      <c r="J127" s="2" t="str">
        <f t="shared" si="9"/>
        <v>2023-06</v>
      </c>
      <c r="K127" s="2">
        <f t="shared" si="10"/>
        <v>26</v>
      </c>
      <c r="L127" s="2">
        <f ca="1">AVERAGE(OFFSET(USD_NGN_Historical_Data__17[[#This Row],[Rate]], -6, 0, 7, 1))</f>
        <v>717.60142857142853</v>
      </c>
      <c r="M127" s="2" t="str">
        <f t="shared" si="11"/>
        <v>Mon</v>
      </c>
    </row>
    <row r="128" spans="1:13" x14ac:dyDescent="0.35">
      <c r="A128" s="4">
        <v>45104</v>
      </c>
      <c r="B128" s="2">
        <v>763.05</v>
      </c>
      <c r="C128" s="2">
        <v>743.75</v>
      </c>
      <c r="D128" s="2">
        <v>765.52499999999998</v>
      </c>
      <c r="E128" s="2">
        <v>743.75</v>
      </c>
      <c r="F128" s="1">
        <v>2.8000000000000001E-2</v>
      </c>
      <c r="G128" s="2">
        <f t="shared" si="6"/>
        <v>2023</v>
      </c>
      <c r="H128" s="2" t="str">
        <f t="shared" si="7"/>
        <v>Jun</v>
      </c>
      <c r="I128" s="2">
        <f t="shared" si="8"/>
        <v>6</v>
      </c>
      <c r="J128" s="2" t="str">
        <f t="shared" si="9"/>
        <v>2023-06</v>
      </c>
      <c r="K128" s="2">
        <f t="shared" si="10"/>
        <v>26</v>
      </c>
      <c r="L128" s="2">
        <f ca="1">AVERAGE(OFFSET(USD_NGN_Historical_Data__17[[#This Row],[Rate]], -6, 0, 7, 1))</f>
        <v>733.03714285714284</v>
      </c>
      <c r="M128" s="2" t="str">
        <f t="shared" si="11"/>
        <v>Tue</v>
      </c>
    </row>
    <row r="129" spans="1:13" x14ac:dyDescent="0.35">
      <c r="A129" s="4">
        <v>45105</v>
      </c>
      <c r="B129" s="2">
        <v>752.95</v>
      </c>
      <c r="C129" s="2">
        <v>764.55</v>
      </c>
      <c r="D129" s="2">
        <v>764.55</v>
      </c>
      <c r="E129" s="2">
        <v>753.97500000000002</v>
      </c>
      <c r="F129" s="1">
        <v>-1.32E-2</v>
      </c>
      <c r="G129" s="2">
        <f t="shared" si="6"/>
        <v>2023</v>
      </c>
      <c r="H129" s="2" t="str">
        <f t="shared" si="7"/>
        <v>Jun</v>
      </c>
      <c r="I129" s="2">
        <f t="shared" si="8"/>
        <v>6</v>
      </c>
      <c r="J129" s="2" t="str">
        <f t="shared" si="9"/>
        <v>2023-06</v>
      </c>
      <c r="K129" s="2">
        <f t="shared" si="10"/>
        <v>26</v>
      </c>
      <c r="L129" s="2">
        <f ca="1">AVERAGE(OFFSET(USD_NGN_Historical_Data__17[[#This Row],[Rate]], -6, 0, 7, 1))</f>
        <v>742.46428571428567</v>
      </c>
      <c r="M129" s="2" t="str">
        <f t="shared" si="11"/>
        <v>Wed</v>
      </c>
    </row>
    <row r="130" spans="1:13" x14ac:dyDescent="0.35">
      <c r="A130" s="4">
        <v>45106</v>
      </c>
      <c r="B130" s="2">
        <v>752.94</v>
      </c>
      <c r="C130" s="2">
        <v>754.45</v>
      </c>
      <c r="D130" s="2">
        <v>754.97500000000002</v>
      </c>
      <c r="E130" s="2">
        <v>753.97</v>
      </c>
      <c r="F130" s="1">
        <v>0</v>
      </c>
      <c r="G130" s="2">
        <f t="shared" ref="G130:G193" si="12">YEAR(A130)</f>
        <v>2023</v>
      </c>
      <c r="H130" s="2" t="str">
        <f t="shared" ref="H130:H193" si="13">TEXT(A130,"mmm")</f>
        <v>Jun</v>
      </c>
      <c r="I130" s="2">
        <f t="shared" ref="I130:I193" si="14">MONTH(A130)</f>
        <v>6</v>
      </c>
      <c r="J130" s="2" t="str">
        <f t="shared" ref="J130:J193" si="15">TEXT(A130,"yyyy-mm")</f>
        <v>2023-06</v>
      </c>
      <c r="K130" s="2">
        <f t="shared" ref="K130:K193" si="16">WEEKNUM(A130)</f>
        <v>26</v>
      </c>
      <c r="L130" s="2">
        <f ca="1">AVERAGE(OFFSET(USD_NGN_Historical_Data__17[[#This Row],[Rate]], -6, 0, 7, 1))</f>
        <v>751.59857142857152</v>
      </c>
      <c r="M130" s="2" t="str">
        <f t="shared" ref="M130:M193" si="17">TEXT(A130, "ddd")</f>
        <v>Thu</v>
      </c>
    </row>
    <row r="131" spans="1:13" x14ac:dyDescent="0.35">
      <c r="A131" s="4">
        <v>45107</v>
      </c>
      <c r="B131" s="2">
        <v>758.77</v>
      </c>
      <c r="C131" s="2">
        <v>754.44</v>
      </c>
      <c r="D131" s="2">
        <v>775.5</v>
      </c>
      <c r="E131" s="2">
        <v>753.97</v>
      </c>
      <c r="F131" s="1">
        <v>7.7000000000000002E-3</v>
      </c>
      <c r="G131" s="2">
        <f t="shared" si="12"/>
        <v>2023</v>
      </c>
      <c r="H131" s="2" t="str">
        <f t="shared" si="13"/>
        <v>Jun</v>
      </c>
      <c r="I131" s="2">
        <f t="shared" si="14"/>
        <v>6</v>
      </c>
      <c r="J131" s="2" t="str">
        <f t="shared" si="15"/>
        <v>2023-06</v>
      </c>
      <c r="K131" s="2">
        <f t="shared" si="16"/>
        <v>26</v>
      </c>
      <c r="L131" s="2">
        <f ca="1">AVERAGE(OFFSET(USD_NGN_Historical_Data__17[[#This Row],[Rate]], -6, 0, 7, 1))</f>
        <v>753.56571428571442</v>
      </c>
      <c r="M131" s="2" t="str">
        <f t="shared" si="17"/>
        <v>Fri</v>
      </c>
    </row>
    <row r="132" spans="1:13" x14ac:dyDescent="0.35">
      <c r="A132" s="4">
        <v>45110</v>
      </c>
      <c r="B132" s="2">
        <v>769.88</v>
      </c>
      <c r="C132" s="2">
        <v>760.27</v>
      </c>
      <c r="D132" s="2">
        <v>775.5</v>
      </c>
      <c r="E132" s="2">
        <v>756.5</v>
      </c>
      <c r="F132" s="1">
        <v>1.46E-2</v>
      </c>
      <c r="G132" s="2">
        <f t="shared" si="12"/>
        <v>2023</v>
      </c>
      <c r="H132" s="2" t="str">
        <f t="shared" si="13"/>
        <v>Jul</v>
      </c>
      <c r="I132" s="2">
        <f t="shared" si="14"/>
        <v>7</v>
      </c>
      <c r="J132" s="2" t="str">
        <f t="shared" si="15"/>
        <v>2023-07</v>
      </c>
      <c r="K132" s="2">
        <f t="shared" si="16"/>
        <v>27</v>
      </c>
      <c r="L132" s="2">
        <f ca="1">AVERAGE(OFFSET(USD_NGN_Historical_Data__17[[#This Row],[Rate]], -6, 0, 7, 1))</f>
        <v>757.12</v>
      </c>
      <c r="M132" s="2" t="str">
        <f t="shared" si="17"/>
        <v>Mon</v>
      </c>
    </row>
    <row r="133" spans="1:13" x14ac:dyDescent="0.35">
      <c r="A133" s="4">
        <v>45111</v>
      </c>
      <c r="B133" s="2">
        <v>769.88</v>
      </c>
      <c r="C133" s="2">
        <v>770.5</v>
      </c>
      <c r="D133" s="2">
        <v>775.5</v>
      </c>
      <c r="E133" s="2">
        <v>765.5</v>
      </c>
      <c r="F133" s="1">
        <v>0</v>
      </c>
      <c r="G133" s="2">
        <f t="shared" si="12"/>
        <v>2023</v>
      </c>
      <c r="H133" s="2" t="str">
        <f t="shared" si="13"/>
        <v>Jul</v>
      </c>
      <c r="I133" s="2">
        <f t="shared" si="14"/>
        <v>7</v>
      </c>
      <c r="J133" s="2" t="str">
        <f t="shared" si="15"/>
        <v>2023-07</v>
      </c>
      <c r="K133" s="2">
        <f t="shared" si="16"/>
        <v>27</v>
      </c>
      <c r="L133" s="2">
        <f ca="1">AVERAGE(OFFSET(USD_NGN_Historical_Data__17[[#This Row],[Rate]], -6, 0, 7, 1))</f>
        <v>758.53142857142859</v>
      </c>
      <c r="M133" s="2" t="str">
        <f t="shared" si="17"/>
        <v>Tue</v>
      </c>
    </row>
    <row r="134" spans="1:13" x14ac:dyDescent="0.35">
      <c r="A134" s="4">
        <v>45112</v>
      </c>
      <c r="B134" s="2">
        <v>772</v>
      </c>
      <c r="C134" s="2">
        <v>771.38</v>
      </c>
      <c r="D134" s="2">
        <v>776.5</v>
      </c>
      <c r="E134" s="2">
        <v>771.38</v>
      </c>
      <c r="F134" s="1">
        <v>2.8E-3</v>
      </c>
      <c r="G134" s="2">
        <f t="shared" si="12"/>
        <v>2023</v>
      </c>
      <c r="H134" s="2" t="str">
        <f t="shared" si="13"/>
        <v>Jul</v>
      </c>
      <c r="I134" s="2">
        <f t="shared" si="14"/>
        <v>7</v>
      </c>
      <c r="J134" s="2" t="str">
        <f t="shared" si="15"/>
        <v>2023-07</v>
      </c>
      <c r="K134" s="2">
        <f t="shared" si="16"/>
        <v>27</v>
      </c>
      <c r="L134" s="2">
        <f ca="1">AVERAGE(OFFSET(USD_NGN_Historical_Data__17[[#This Row],[Rate]], -6, 0, 7, 1))</f>
        <v>762.78142857142859</v>
      </c>
      <c r="M134" s="2" t="str">
        <f t="shared" si="17"/>
        <v>Wed</v>
      </c>
    </row>
    <row r="135" spans="1:13" x14ac:dyDescent="0.35">
      <c r="A135" s="4">
        <v>45113</v>
      </c>
      <c r="B135" s="2">
        <v>774</v>
      </c>
      <c r="C135" s="2">
        <v>773.5</v>
      </c>
      <c r="D135" s="2">
        <v>776</v>
      </c>
      <c r="E135" s="2">
        <v>765.5</v>
      </c>
      <c r="F135" s="1">
        <v>2.5999999999999999E-3</v>
      </c>
      <c r="G135" s="2">
        <f t="shared" si="12"/>
        <v>2023</v>
      </c>
      <c r="H135" s="2" t="str">
        <f t="shared" si="13"/>
        <v>Jul</v>
      </c>
      <c r="I135" s="2">
        <f t="shared" si="14"/>
        <v>7</v>
      </c>
      <c r="J135" s="2" t="str">
        <f t="shared" si="15"/>
        <v>2023-07</v>
      </c>
      <c r="K135" s="2">
        <f t="shared" si="16"/>
        <v>27</v>
      </c>
      <c r="L135" s="2">
        <f ca="1">AVERAGE(OFFSET(USD_NGN_Historical_Data__17[[#This Row],[Rate]], -6, 0, 7, 1))</f>
        <v>764.34571428571428</v>
      </c>
      <c r="M135" s="2" t="str">
        <f t="shared" si="17"/>
        <v>Thu</v>
      </c>
    </row>
    <row r="136" spans="1:13" x14ac:dyDescent="0.35">
      <c r="A136" s="4">
        <v>45114</v>
      </c>
      <c r="B136" s="2">
        <v>768</v>
      </c>
      <c r="C136" s="2">
        <v>775.5</v>
      </c>
      <c r="D136" s="2">
        <v>776</v>
      </c>
      <c r="E136" s="2">
        <v>765.5</v>
      </c>
      <c r="F136" s="1">
        <v>-7.7999999999999996E-3</v>
      </c>
      <c r="G136" s="2">
        <f t="shared" si="12"/>
        <v>2023</v>
      </c>
      <c r="H136" s="2" t="str">
        <f t="shared" si="13"/>
        <v>Jul</v>
      </c>
      <c r="I136" s="2">
        <f t="shared" si="14"/>
        <v>7</v>
      </c>
      <c r="J136" s="2" t="str">
        <f t="shared" si="15"/>
        <v>2023-07</v>
      </c>
      <c r="K136" s="2">
        <f t="shared" si="16"/>
        <v>27</v>
      </c>
      <c r="L136" s="2">
        <f ca="1">AVERAGE(OFFSET(USD_NGN_Historical_Data__17[[#This Row],[Rate]], -6, 0, 7, 1))</f>
        <v>766.49571428571437</v>
      </c>
      <c r="M136" s="2" t="str">
        <f t="shared" si="17"/>
        <v>Fri</v>
      </c>
    </row>
    <row r="137" spans="1:13" x14ac:dyDescent="0.35">
      <c r="A137" s="4">
        <v>45117</v>
      </c>
      <c r="B137" s="2">
        <v>789</v>
      </c>
      <c r="C137" s="2">
        <v>768.5</v>
      </c>
      <c r="D137" s="2">
        <v>790</v>
      </c>
      <c r="E137" s="2">
        <v>768.5</v>
      </c>
      <c r="F137" s="1">
        <v>2.7300000000000001E-2</v>
      </c>
      <c r="G137" s="2">
        <f t="shared" si="12"/>
        <v>2023</v>
      </c>
      <c r="H137" s="2" t="str">
        <f t="shared" si="13"/>
        <v>Jul</v>
      </c>
      <c r="I137" s="2">
        <f t="shared" si="14"/>
        <v>7</v>
      </c>
      <c r="J137" s="2" t="str">
        <f t="shared" si="15"/>
        <v>2023-07</v>
      </c>
      <c r="K137" s="2">
        <f t="shared" si="16"/>
        <v>28</v>
      </c>
      <c r="L137" s="2">
        <f ca="1">AVERAGE(OFFSET(USD_NGN_Historical_Data__17[[#This Row],[Rate]], -6, 0, 7, 1))</f>
        <v>771.64714285714297</v>
      </c>
      <c r="M137" s="2" t="str">
        <f t="shared" si="17"/>
        <v>Mon</v>
      </c>
    </row>
    <row r="138" spans="1:13" x14ac:dyDescent="0.35">
      <c r="A138" s="4">
        <v>45118</v>
      </c>
      <c r="B138" s="2">
        <v>779</v>
      </c>
      <c r="C138" s="2">
        <v>787.65</v>
      </c>
      <c r="D138" s="2">
        <v>790.5</v>
      </c>
      <c r="E138" s="2">
        <v>760.5</v>
      </c>
      <c r="F138" s="1">
        <v>-1.2699999999999999E-2</v>
      </c>
      <c r="G138" s="2">
        <f t="shared" si="12"/>
        <v>2023</v>
      </c>
      <c r="H138" s="2" t="str">
        <f t="shared" si="13"/>
        <v>Jul</v>
      </c>
      <c r="I138" s="2">
        <f t="shared" si="14"/>
        <v>7</v>
      </c>
      <c r="J138" s="2" t="str">
        <f t="shared" si="15"/>
        <v>2023-07</v>
      </c>
      <c r="K138" s="2">
        <f t="shared" si="16"/>
        <v>28</v>
      </c>
      <c r="L138" s="2">
        <f ca="1">AVERAGE(OFFSET(USD_NGN_Historical_Data__17[[#This Row],[Rate]], -6, 0, 7, 1))</f>
        <v>774.53714285714284</v>
      </c>
      <c r="M138" s="2" t="str">
        <f t="shared" si="17"/>
        <v>Tue</v>
      </c>
    </row>
    <row r="139" spans="1:13" x14ac:dyDescent="0.35">
      <c r="A139" s="4">
        <v>45119</v>
      </c>
      <c r="B139" s="2">
        <v>775</v>
      </c>
      <c r="C139" s="2">
        <v>780.5</v>
      </c>
      <c r="D139" s="2">
        <v>790.5</v>
      </c>
      <c r="E139" s="2">
        <v>760</v>
      </c>
      <c r="F139" s="1">
        <v>-5.1000000000000004E-3</v>
      </c>
      <c r="G139" s="2">
        <f t="shared" si="12"/>
        <v>2023</v>
      </c>
      <c r="H139" s="2" t="str">
        <f t="shared" si="13"/>
        <v>Jul</v>
      </c>
      <c r="I139" s="2">
        <f t="shared" si="14"/>
        <v>7</v>
      </c>
      <c r="J139" s="2" t="str">
        <f t="shared" si="15"/>
        <v>2023-07</v>
      </c>
      <c r="K139" s="2">
        <f t="shared" si="16"/>
        <v>28</v>
      </c>
      <c r="L139" s="2">
        <f ca="1">AVERAGE(OFFSET(USD_NGN_Historical_Data__17[[#This Row],[Rate]], -6, 0, 7, 1))</f>
        <v>775.26857142857148</v>
      </c>
      <c r="M139" s="2" t="str">
        <f t="shared" si="17"/>
        <v>Wed</v>
      </c>
    </row>
    <row r="140" spans="1:13" x14ac:dyDescent="0.35">
      <c r="A140" s="4">
        <v>45120</v>
      </c>
      <c r="B140" s="2">
        <v>776</v>
      </c>
      <c r="C140" s="2">
        <v>776.5</v>
      </c>
      <c r="D140" s="2">
        <v>799.5</v>
      </c>
      <c r="E140" s="2">
        <v>776.5</v>
      </c>
      <c r="F140" s="1">
        <v>1.2999999999999999E-3</v>
      </c>
      <c r="G140" s="2">
        <f t="shared" si="12"/>
        <v>2023</v>
      </c>
      <c r="H140" s="2" t="str">
        <f t="shared" si="13"/>
        <v>Jul</v>
      </c>
      <c r="I140" s="2">
        <f t="shared" si="14"/>
        <v>7</v>
      </c>
      <c r="J140" s="2" t="str">
        <f t="shared" si="15"/>
        <v>2023-07</v>
      </c>
      <c r="K140" s="2">
        <f t="shared" si="16"/>
        <v>28</v>
      </c>
      <c r="L140" s="2">
        <f ca="1">AVERAGE(OFFSET(USD_NGN_Historical_Data__17[[#This Row],[Rate]], -6, 0, 7, 1))</f>
        <v>776.14285714285711</v>
      </c>
      <c r="M140" s="2" t="str">
        <f t="shared" si="17"/>
        <v>Thu</v>
      </c>
    </row>
    <row r="141" spans="1:13" x14ac:dyDescent="0.35">
      <c r="A141" s="4">
        <v>45121</v>
      </c>
      <c r="B141" s="2">
        <v>775</v>
      </c>
      <c r="C141" s="2">
        <v>777.5</v>
      </c>
      <c r="D141" s="2">
        <v>777.5</v>
      </c>
      <c r="E141" s="2">
        <v>776.5</v>
      </c>
      <c r="F141" s="1">
        <v>-1.2999999999999999E-3</v>
      </c>
      <c r="G141" s="2">
        <f t="shared" si="12"/>
        <v>2023</v>
      </c>
      <c r="H141" s="2" t="str">
        <f t="shared" si="13"/>
        <v>Jul</v>
      </c>
      <c r="I141" s="2">
        <f t="shared" si="14"/>
        <v>7</v>
      </c>
      <c r="J141" s="2" t="str">
        <f t="shared" si="15"/>
        <v>2023-07</v>
      </c>
      <c r="K141" s="2">
        <f t="shared" si="16"/>
        <v>28</v>
      </c>
      <c r="L141" s="2">
        <f ca="1">AVERAGE(OFFSET(USD_NGN_Historical_Data__17[[#This Row],[Rate]], -6, 0, 7, 1))</f>
        <v>776.57142857142856</v>
      </c>
      <c r="M141" s="2" t="str">
        <f t="shared" si="17"/>
        <v>Fri</v>
      </c>
    </row>
    <row r="142" spans="1:13" x14ac:dyDescent="0.35">
      <c r="A142" s="4">
        <v>45124</v>
      </c>
      <c r="B142" s="2">
        <v>774.67</v>
      </c>
      <c r="C142" s="2">
        <v>776.5</v>
      </c>
      <c r="D142" s="2">
        <v>776.5</v>
      </c>
      <c r="E142" s="2">
        <v>775.5</v>
      </c>
      <c r="F142" s="1">
        <v>-4.0000000000000002E-4</v>
      </c>
      <c r="G142" s="2">
        <f t="shared" si="12"/>
        <v>2023</v>
      </c>
      <c r="H142" s="2" t="str">
        <f t="shared" si="13"/>
        <v>Jul</v>
      </c>
      <c r="I142" s="2">
        <f t="shared" si="14"/>
        <v>7</v>
      </c>
      <c r="J142" s="2" t="str">
        <f t="shared" si="15"/>
        <v>2023-07</v>
      </c>
      <c r="K142" s="2">
        <f t="shared" si="16"/>
        <v>29</v>
      </c>
      <c r="L142" s="2">
        <f ca="1">AVERAGE(OFFSET(USD_NGN_Historical_Data__17[[#This Row],[Rate]], -6, 0, 7, 1))</f>
        <v>776.66714285714284</v>
      </c>
      <c r="M142" s="2" t="str">
        <f t="shared" si="17"/>
        <v>Mon</v>
      </c>
    </row>
    <row r="143" spans="1:13" x14ac:dyDescent="0.35">
      <c r="A143" s="4">
        <v>45125</v>
      </c>
      <c r="B143" s="2">
        <v>788</v>
      </c>
      <c r="C143" s="2">
        <v>776.17</v>
      </c>
      <c r="D143" s="2">
        <v>791.3</v>
      </c>
      <c r="E143" s="2">
        <v>773.31</v>
      </c>
      <c r="F143" s="1">
        <v>1.72E-2</v>
      </c>
      <c r="G143" s="2">
        <f t="shared" si="12"/>
        <v>2023</v>
      </c>
      <c r="H143" s="2" t="str">
        <f t="shared" si="13"/>
        <v>Jul</v>
      </c>
      <c r="I143" s="2">
        <f t="shared" si="14"/>
        <v>7</v>
      </c>
      <c r="J143" s="2" t="str">
        <f t="shared" si="15"/>
        <v>2023-07</v>
      </c>
      <c r="K143" s="2">
        <f t="shared" si="16"/>
        <v>29</v>
      </c>
      <c r="L143" s="2">
        <f ca="1">AVERAGE(OFFSET(USD_NGN_Historical_Data__17[[#This Row],[Rate]], -6, 0, 7, 1))</f>
        <v>779.52428571428572</v>
      </c>
      <c r="M143" s="2" t="str">
        <f t="shared" si="17"/>
        <v>Tue</v>
      </c>
    </row>
    <row r="144" spans="1:13" x14ac:dyDescent="0.35">
      <c r="A144" s="4">
        <v>45126</v>
      </c>
      <c r="B144" s="2">
        <v>781.31</v>
      </c>
      <c r="C144" s="2">
        <v>773.31</v>
      </c>
      <c r="D144" s="2">
        <v>799.5</v>
      </c>
      <c r="E144" s="2">
        <v>773.31</v>
      </c>
      <c r="F144" s="1">
        <v>-8.5000000000000006E-3</v>
      </c>
      <c r="G144" s="2">
        <f t="shared" si="12"/>
        <v>2023</v>
      </c>
      <c r="H144" s="2" t="str">
        <f t="shared" si="13"/>
        <v>Jul</v>
      </c>
      <c r="I144" s="2">
        <f t="shared" si="14"/>
        <v>7</v>
      </c>
      <c r="J144" s="2" t="str">
        <f t="shared" si="15"/>
        <v>2023-07</v>
      </c>
      <c r="K144" s="2">
        <f t="shared" si="16"/>
        <v>29</v>
      </c>
      <c r="L144" s="2">
        <f ca="1">AVERAGE(OFFSET(USD_NGN_Historical_Data__17[[#This Row],[Rate]], -6, 0, 7, 1))</f>
        <v>778.42571428571421</v>
      </c>
      <c r="M144" s="2" t="str">
        <f t="shared" si="17"/>
        <v>Wed</v>
      </c>
    </row>
    <row r="145" spans="1:13" x14ac:dyDescent="0.35">
      <c r="A145" s="4">
        <v>45127</v>
      </c>
      <c r="B145" s="2">
        <v>789.51</v>
      </c>
      <c r="C145" s="2">
        <v>782.81</v>
      </c>
      <c r="D145" s="2">
        <v>791.5</v>
      </c>
      <c r="E145" s="2">
        <v>775.5</v>
      </c>
      <c r="F145" s="1">
        <v>1.0500000000000001E-2</v>
      </c>
      <c r="G145" s="2">
        <f t="shared" si="12"/>
        <v>2023</v>
      </c>
      <c r="H145" s="2" t="str">
        <f t="shared" si="13"/>
        <v>Jul</v>
      </c>
      <c r="I145" s="2">
        <f t="shared" si="14"/>
        <v>7</v>
      </c>
      <c r="J145" s="2" t="str">
        <f t="shared" si="15"/>
        <v>2023-07</v>
      </c>
      <c r="K145" s="2">
        <f t="shared" si="16"/>
        <v>29</v>
      </c>
      <c r="L145" s="2">
        <f ca="1">AVERAGE(OFFSET(USD_NGN_Historical_Data__17[[#This Row],[Rate]], -6, 0, 7, 1))</f>
        <v>779.92714285714283</v>
      </c>
      <c r="M145" s="2" t="str">
        <f t="shared" si="17"/>
        <v>Thu</v>
      </c>
    </row>
    <row r="146" spans="1:13" x14ac:dyDescent="0.35">
      <c r="A146" s="4">
        <v>45128</v>
      </c>
      <c r="B146" s="2">
        <v>774.5</v>
      </c>
      <c r="C146" s="2">
        <v>791.01</v>
      </c>
      <c r="D146" s="2">
        <v>792.5</v>
      </c>
      <c r="E146" s="2">
        <v>775.25</v>
      </c>
      <c r="F146" s="1">
        <v>-1.9E-2</v>
      </c>
      <c r="G146" s="2">
        <f t="shared" si="12"/>
        <v>2023</v>
      </c>
      <c r="H146" s="2" t="str">
        <f t="shared" si="13"/>
        <v>Jul</v>
      </c>
      <c r="I146" s="2">
        <f t="shared" si="14"/>
        <v>7</v>
      </c>
      <c r="J146" s="2" t="str">
        <f t="shared" si="15"/>
        <v>2023-07</v>
      </c>
      <c r="K146" s="2">
        <f t="shared" si="16"/>
        <v>29</v>
      </c>
      <c r="L146" s="2">
        <f ca="1">AVERAGE(OFFSET(USD_NGN_Historical_Data__17[[#This Row],[Rate]], -6, 0, 7, 1))</f>
        <v>779.85571428571427</v>
      </c>
      <c r="M146" s="2" t="str">
        <f t="shared" si="17"/>
        <v>Fri</v>
      </c>
    </row>
    <row r="147" spans="1:13" x14ac:dyDescent="0.35">
      <c r="A147" s="4">
        <v>45131</v>
      </c>
      <c r="B147" s="2">
        <v>791.82</v>
      </c>
      <c r="C147" s="2">
        <v>776</v>
      </c>
      <c r="D147" s="2">
        <v>793.41</v>
      </c>
      <c r="E147" s="2">
        <v>776</v>
      </c>
      <c r="F147" s="1">
        <v>2.24E-2</v>
      </c>
      <c r="G147" s="2">
        <f t="shared" si="12"/>
        <v>2023</v>
      </c>
      <c r="H147" s="2" t="str">
        <f t="shared" si="13"/>
        <v>Jul</v>
      </c>
      <c r="I147" s="2">
        <f t="shared" si="14"/>
        <v>7</v>
      </c>
      <c r="J147" s="2" t="str">
        <f t="shared" si="15"/>
        <v>2023-07</v>
      </c>
      <c r="K147" s="2">
        <f t="shared" si="16"/>
        <v>30</v>
      </c>
      <c r="L147" s="2">
        <f ca="1">AVERAGE(OFFSET(USD_NGN_Historical_Data__17[[#This Row],[Rate]], -6, 0, 7, 1))</f>
        <v>782.11571428571426</v>
      </c>
      <c r="M147" s="2" t="str">
        <f t="shared" si="17"/>
        <v>Mon</v>
      </c>
    </row>
    <row r="148" spans="1:13" x14ac:dyDescent="0.35">
      <c r="A148" s="4">
        <v>45132</v>
      </c>
      <c r="B148" s="2">
        <v>791.82</v>
      </c>
      <c r="C148" s="2">
        <v>793.32</v>
      </c>
      <c r="D148" s="2">
        <v>793.32</v>
      </c>
      <c r="E148" s="2">
        <v>780.5</v>
      </c>
      <c r="F148" s="1">
        <v>0</v>
      </c>
      <c r="G148" s="2">
        <f t="shared" si="12"/>
        <v>2023</v>
      </c>
      <c r="H148" s="2" t="str">
        <f t="shared" si="13"/>
        <v>Jul</v>
      </c>
      <c r="I148" s="2">
        <f t="shared" si="14"/>
        <v>7</v>
      </c>
      <c r="J148" s="2" t="str">
        <f t="shared" si="15"/>
        <v>2023-07</v>
      </c>
      <c r="K148" s="2">
        <f t="shared" si="16"/>
        <v>30</v>
      </c>
      <c r="L148" s="2">
        <f ca="1">AVERAGE(OFFSET(USD_NGN_Historical_Data__17[[#This Row],[Rate]], -6, 0, 7, 1))</f>
        <v>784.51857142857136</v>
      </c>
      <c r="M148" s="2" t="str">
        <f t="shared" si="17"/>
        <v>Tue</v>
      </c>
    </row>
    <row r="149" spans="1:13" x14ac:dyDescent="0.35">
      <c r="A149" s="4">
        <v>45133</v>
      </c>
      <c r="B149" s="2">
        <v>787.92</v>
      </c>
      <c r="C149" s="2">
        <v>793.32</v>
      </c>
      <c r="D149" s="2">
        <v>793.32</v>
      </c>
      <c r="E149" s="2">
        <v>789.42</v>
      </c>
      <c r="F149" s="1">
        <v>-4.8999999999999998E-3</v>
      </c>
      <c r="G149" s="2">
        <f t="shared" si="12"/>
        <v>2023</v>
      </c>
      <c r="H149" s="2" t="str">
        <f t="shared" si="13"/>
        <v>Jul</v>
      </c>
      <c r="I149" s="2">
        <f t="shared" si="14"/>
        <v>7</v>
      </c>
      <c r="J149" s="2" t="str">
        <f t="shared" si="15"/>
        <v>2023-07</v>
      </c>
      <c r="K149" s="2">
        <f t="shared" si="16"/>
        <v>30</v>
      </c>
      <c r="L149" s="2">
        <f ca="1">AVERAGE(OFFSET(USD_NGN_Historical_Data__17[[#This Row],[Rate]], -6, 0, 7, 1))</f>
        <v>786.41142857142859</v>
      </c>
      <c r="M149" s="2" t="str">
        <f t="shared" si="17"/>
        <v>Wed</v>
      </c>
    </row>
    <row r="150" spans="1:13" x14ac:dyDescent="0.35">
      <c r="A150" s="4">
        <v>45134</v>
      </c>
      <c r="B150" s="2">
        <v>774</v>
      </c>
      <c r="C150" s="2">
        <v>789.42</v>
      </c>
      <c r="D150" s="2">
        <v>790</v>
      </c>
      <c r="E150" s="2">
        <v>764.5</v>
      </c>
      <c r="F150" s="1">
        <v>-1.77E-2</v>
      </c>
      <c r="G150" s="2">
        <f t="shared" si="12"/>
        <v>2023</v>
      </c>
      <c r="H150" s="2" t="str">
        <f t="shared" si="13"/>
        <v>Jul</v>
      </c>
      <c r="I150" s="2">
        <f t="shared" si="14"/>
        <v>7</v>
      </c>
      <c r="J150" s="2" t="str">
        <f t="shared" si="15"/>
        <v>2023-07</v>
      </c>
      <c r="K150" s="2">
        <f t="shared" si="16"/>
        <v>30</v>
      </c>
      <c r="L150" s="2">
        <f ca="1">AVERAGE(OFFSET(USD_NGN_Historical_Data__17[[#This Row],[Rate]], -6, 0, 7, 1))</f>
        <v>784.41142857142859</v>
      </c>
      <c r="M150" s="2" t="str">
        <f t="shared" si="17"/>
        <v>Thu</v>
      </c>
    </row>
    <row r="151" spans="1:13" x14ac:dyDescent="0.35">
      <c r="A151" s="4">
        <v>45135</v>
      </c>
      <c r="B151" s="2">
        <v>774.28</v>
      </c>
      <c r="C151" s="2">
        <v>775.5</v>
      </c>
      <c r="D151" s="2">
        <v>790</v>
      </c>
      <c r="E151" s="2">
        <v>775.5</v>
      </c>
      <c r="F151" s="1">
        <v>4.0000000000000002E-4</v>
      </c>
      <c r="G151" s="2">
        <f t="shared" si="12"/>
        <v>2023</v>
      </c>
      <c r="H151" s="2" t="str">
        <f t="shared" si="13"/>
        <v>Jul</v>
      </c>
      <c r="I151" s="2">
        <f t="shared" si="14"/>
        <v>7</v>
      </c>
      <c r="J151" s="2" t="str">
        <f t="shared" si="15"/>
        <v>2023-07</v>
      </c>
      <c r="K151" s="2">
        <f t="shared" si="16"/>
        <v>30</v>
      </c>
      <c r="L151" s="2">
        <f ca="1">AVERAGE(OFFSET(USD_NGN_Historical_Data__17[[#This Row],[Rate]], -6, 0, 7, 1))</f>
        <v>783.40714285714273</v>
      </c>
      <c r="M151" s="2" t="str">
        <f t="shared" si="17"/>
        <v>Fri</v>
      </c>
    </row>
    <row r="152" spans="1:13" x14ac:dyDescent="0.35">
      <c r="A152" s="4">
        <v>45138</v>
      </c>
      <c r="B152" s="2">
        <v>758.9</v>
      </c>
      <c r="C152" s="2">
        <v>775.78</v>
      </c>
      <c r="D152" s="2">
        <v>792.5</v>
      </c>
      <c r="E152" s="2">
        <v>759.95</v>
      </c>
      <c r="F152" s="1">
        <v>-1.9900000000000001E-2</v>
      </c>
      <c r="G152" s="2">
        <f t="shared" si="12"/>
        <v>2023</v>
      </c>
      <c r="H152" s="2" t="str">
        <f t="shared" si="13"/>
        <v>Jul</v>
      </c>
      <c r="I152" s="2">
        <f t="shared" si="14"/>
        <v>7</v>
      </c>
      <c r="J152" s="2" t="str">
        <f t="shared" si="15"/>
        <v>2023-07</v>
      </c>
      <c r="K152" s="2">
        <f t="shared" si="16"/>
        <v>31</v>
      </c>
      <c r="L152" s="2">
        <f ca="1">AVERAGE(OFFSET(USD_NGN_Historical_Data__17[[#This Row],[Rate]], -6, 0, 7, 1))</f>
        <v>779.03428571428572</v>
      </c>
      <c r="M152" s="2" t="str">
        <f t="shared" si="17"/>
        <v>Mon</v>
      </c>
    </row>
    <row r="153" spans="1:13" x14ac:dyDescent="0.35">
      <c r="A153" s="4">
        <v>45139</v>
      </c>
      <c r="B153" s="2">
        <v>757.02</v>
      </c>
      <c r="C153" s="2">
        <v>760.4</v>
      </c>
      <c r="D153" s="2">
        <v>771.55</v>
      </c>
      <c r="E153" s="2">
        <v>745.5</v>
      </c>
      <c r="F153" s="1">
        <v>-2.5000000000000001E-3</v>
      </c>
      <c r="G153" s="2">
        <f t="shared" si="12"/>
        <v>2023</v>
      </c>
      <c r="H153" s="2" t="str">
        <f t="shared" si="13"/>
        <v>Aug</v>
      </c>
      <c r="I153" s="2">
        <f t="shared" si="14"/>
        <v>8</v>
      </c>
      <c r="J153" s="2" t="str">
        <f t="shared" si="15"/>
        <v>2023-08</v>
      </c>
      <c r="K153" s="2">
        <f t="shared" si="16"/>
        <v>31</v>
      </c>
      <c r="L153" s="2">
        <f ca="1">AVERAGE(OFFSET(USD_NGN_Historical_Data__17[[#This Row],[Rate]], -6, 0, 7, 1))</f>
        <v>776.53714285714284</v>
      </c>
      <c r="M153" s="2" t="str">
        <f t="shared" si="17"/>
        <v>Tue</v>
      </c>
    </row>
    <row r="154" spans="1:13" x14ac:dyDescent="0.35">
      <c r="A154" s="4">
        <v>45140</v>
      </c>
      <c r="B154" s="2">
        <v>777</v>
      </c>
      <c r="C154" s="2">
        <v>758.52</v>
      </c>
      <c r="D154" s="2">
        <v>778.5</v>
      </c>
      <c r="E154" s="2">
        <v>752.5</v>
      </c>
      <c r="F154" s="1">
        <v>2.64E-2</v>
      </c>
      <c r="G154" s="2">
        <f t="shared" si="12"/>
        <v>2023</v>
      </c>
      <c r="H154" s="2" t="str">
        <f t="shared" si="13"/>
        <v>Aug</v>
      </c>
      <c r="I154" s="2">
        <f t="shared" si="14"/>
        <v>8</v>
      </c>
      <c r="J154" s="2" t="str">
        <f t="shared" si="15"/>
        <v>2023-08</v>
      </c>
      <c r="K154" s="2">
        <f t="shared" si="16"/>
        <v>31</v>
      </c>
      <c r="L154" s="2">
        <f ca="1">AVERAGE(OFFSET(USD_NGN_Historical_Data__17[[#This Row],[Rate]], -6, 0, 7, 1))</f>
        <v>774.42</v>
      </c>
      <c r="M154" s="2" t="str">
        <f t="shared" si="17"/>
        <v>Wed</v>
      </c>
    </row>
    <row r="155" spans="1:13" x14ac:dyDescent="0.35">
      <c r="A155" s="4">
        <v>45141</v>
      </c>
      <c r="B155" s="2">
        <v>777</v>
      </c>
      <c r="C155" s="2">
        <v>776.36</v>
      </c>
      <c r="D155" s="2">
        <v>792.5</v>
      </c>
      <c r="E155" s="2">
        <v>760.5</v>
      </c>
      <c r="F155" s="1">
        <v>0</v>
      </c>
      <c r="G155" s="2">
        <f t="shared" si="12"/>
        <v>2023</v>
      </c>
      <c r="H155" s="2" t="str">
        <f t="shared" si="13"/>
        <v>Aug</v>
      </c>
      <c r="I155" s="2">
        <f t="shared" si="14"/>
        <v>8</v>
      </c>
      <c r="J155" s="2" t="str">
        <f t="shared" si="15"/>
        <v>2023-08</v>
      </c>
      <c r="K155" s="2">
        <f t="shared" si="16"/>
        <v>31</v>
      </c>
      <c r="L155" s="2">
        <f ca="1">AVERAGE(OFFSET(USD_NGN_Historical_Data__17[[#This Row],[Rate]], -6, 0, 7, 1))</f>
        <v>772.30285714285708</v>
      </c>
      <c r="M155" s="2" t="str">
        <f t="shared" si="17"/>
        <v>Thu</v>
      </c>
    </row>
    <row r="156" spans="1:13" x14ac:dyDescent="0.35">
      <c r="A156" s="4">
        <v>45142</v>
      </c>
      <c r="B156" s="2">
        <v>765.95</v>
      </c>
      <c r="C156" s="2">
        <v>777.5</v>
      </c>
      <c r="D156" s="2">
        <v>778</v>
      </c>
      <c r="E156" s="2">
        <v>767.45</v>
      </c>
      <c r="F156" s="1">
        <v>-1.4200000000000001E-2</v>
      </c>
      <c r="G156" s="2">
        <f t="shared" si="12"/>
        <v>2023</v>
      </c>
      <c r="H156" s="2" t="str">
        <f t="shared" si="13"/>
        <v>Aug</v>
      </c>
      <c r="I156" s="2">
        <f t="shared" si="14"/>
        <v>8</v>
      </c>
      <c r="J156" s="2" t="str">
        <f t="shared" si="15"/>
        <v>2023-08</v>
      </c>
      <c r="K156" s="2">
        <f t="shared" si="16"/>
        <v>31</v>
      </c>
      <c r="L156" s="2">
        <f ca="1">AVERAGE(OFFSET(USD_NGN_Historical_Data__17[[#This Row],[Rate]], -6, 0, 7, 1))</f>
        <v>769.16428571428571</v>
      </c>
      <c r="M156" s="2" t="str">
        <f t="shared" si="17"/>
        <v>Fri</v>
      </c>
    </row>
    <row r="157" spans="1:13" x14ac:dyDescent="0.35">
      <c r="A157" s="4">
        <v>45145</v>
      </c>
      <c r="B157" s="2">
        <v>749.62</v>
      </c>
      <c r="C157" s="2">
        <v>767.45</v>
      </c>
      <c r="D157" s="2">
        <v>787.5</v>
      </c>
      <c r="E157" s="2">
        <v>751.12</v>
      </c>
      <c r="F157" s="1">
        <v>-2.1299999999999999E-2</v>
      </c>
      <c r="G157" s="2">
        <f t="shared" si="12"/>
        <v>2023</v>
      </c>
      <c r="H157" s="2" t="str">
        <f t="shared" si="13"/>
        <v>Aug</v>
      </c>
      <c r="I157" s="2">
        <f t="shared" si="14"/>
        <v>8</v>
      </c>
      <c r="J157" s="2" t="str">
        <f t="shared" si="15"/>
        <v>2023-08</v>
      </c>
      <c r="K157" s="2">
        <f t="shared" si="16"/>
        <v>32</v>
      </c>
      <c r="L157" s="2">
        <f ca="1">AVERAGE(OFFSET(USD_NGN_Historical_Data__17[[#This Row],[Rate]], -6, 0, 7, 1))</f>
        <v>765.68142857142846</v>
      </c>
      <c r="M157" s="2" t="str">
        <f t="shared" si="17"/>
        <v>Mon</v>
      </c>
    </row>
    <row r="158" spans="1:13" x14ac:dyDescent="0.35">
      <c r="A158" s="4">
        <v>45146</v>
      </c>
      <c r="B158" s="2">
        <v>761.44</v>
      </c>
      <c r="C158" s="2">
        <v>751.12</v>
      </c>
      <c r="D158" s="2">
        <v>762.94</v>
      </c>
      <c r="E158" s="2">
        <v>751.12</v>
      </c>
      <c r="F158" s="1">
        <v>1.5800000000000002E-2</v>
      </c>
      <c r="G158" s="2">
        <f t="shared" si="12"/>
        <v>2023</v>
      </c>
      <c r="H158" s="2" t="str">
        <f t="shared" si="13"/>
        <v>Aug</v>
      </c>
      <c r="I158" s="2">
        <f t="shared" si="14"/>
        <v>8</v>
      </c>
      <c r="J158" s="2" t="str">
        <f t="shared" si="15"/>
        <v>2023-08</v>
      </c>
      <c r="K158" s="2">
        <f t="shared" si="16"/>
        <v>32</v>
      </c>
      <c r="L158" s="2">
        <f ca="1">AVERAGE(OFFSET(USD_NGN_Historical_Data__17[[#This Row],[Rate]], -6, 0, 7, 1))</f>
        <v>763.8471428571429</v>
      </c>
      <c r="M158" s="2" t="str">
        <f t="shared" si="17"/>
        <v>Tue</v>
      </c>
    </row>
    <row r="159" spans="1:13" x14ac:dyDescent="0.35">
      <c r="A159" s="4">
        <v>45147</v>
      </c>
      <c r="B159" s="2">
        <v>767.77</v>
      </c>
      <c r="C159" s="2">
        <v>762.94</v>
      </c>
      <c r="D159" s="2">
        <v>769.27</v>
      </c>
      <c r="E159" s="2">
        <v>762.94</v>
      </c>
      <c r="F159" s="1">
        <v>8.3000000000000001E-3</v>
      </c>
      <c r="G159" s="2">
        <f t="shared" si="12"/>
        <v>2023</v>
      </c>
      <c r="H159" s="2" t="str">
        <f t="shared" si="13"/>
        <v>Aug</v>
      </c>
      <c r="I159" s="2">
        <f t="shared" si="14"/>
        <v>8</v>
      </c>
      <c r="J159" s="2" t="str">
        <f t="shared" si="15"/>
        <v>2023-08</v>
      </c>
      <c r="K159" s="2">
        <f t="shared" si="16"/>
        <v>32</v>
      </c>
      <c r="L159" s="2">
        <f ca="1">AVERAGE(OFFSET(USD_NGN_Historical_Data__17[[#This Row],[Rate]], -6, 0, 7, 1))</f>
        <v>765.11428571428587</v>
      </c>
      <c r="M159" s="2" t="str">
        <f t="shared" si="17"/>
        <v>Wed</v>
      </c>
    </row>
    <row r="160" spans="1:13" x14ac:dyDescent="0.35">
      <c r="A160" s="4">
        <v>45148</v>
      </c>
      <c r="B160" s="2">
        <v>767.77</v>
      </c>
      <c r="C160" s="2">
        <v>769.27</v>
      </c>
      <c r="D160" s="2">
        <v>769.27</v>
      </c>
      <c r="E160" s="2">
        <v>769.27</v>
      </c>
      <c r="F160" s="1">
        <v>0</v>
      </c>
      <c r="G160" s="2">
        <f t="shared" si="12"/>
        <v>2023</v>
      </c>
      <c r="H160" s="2" t="str">
        <f t="shared" si="13"/>
        <v>Aug</v>
      </c>
      <c r="I160" s="2">
        <f t="shared" si="14"/>
        <v>8</v>
      </c>
      <c r="J160" s="2" t="str">
        <f t="shared" si="15"/>
        <v>2023-08</v>
      </c>
      <c r="K160" s="2">
        <f t="shared" si="16"/>
        <v>32</v>
      </c>
      <c r="L160" s="2">
        <f ca="1">AVERAGE(OFFSET(USD_NGN_Historical_Data__17[[#This Row],[Rate]], -6, 0, 7, 1))</f>
        <v>766.64999999999986</v>
      </c>
      <c r="M160" s="2" t="str">
        <f t="shared" si="17"/>
        <v>Thu</v>
      </c>
    </row>
    <row r="161" spans="1:13" x14ac:dyDescent="0.35">
      <c r="A161" s="4">
        <v>45149</v>
      </c>
      <c r="B161" s="2">
        <v>767.77</v>
      </c>
      <c r="C161" s="2">
        <v>769.27</v>
      </c>
      <c r="D161" s="2">
        <v>769.27</v>
      </c>
      <c r="E161" s="2">
        <v>769.27</v>
      </c>
      <c r="F161" s="1">
        <v>0</v>
      </c>
      <c r="G161" s="2">
        <f t="shared" si="12"/>
        <v>2023</v>
      </c>
      <c r="H161" s="2" t="str">
        <f t="shared" si="13"/>
        <v>Aug</v>
      </c>
      <c r="I161" s="2">
        <f t="shared" si="14"/>
        <v>8</v>
      </c>
      <c r="J161" s="2" t="str">
        <f t="shared" si="15"/>
        <v>2023-08</v>
      </c>
      <c r="K161" s="2">
        <f t="shared" si="16"/>
        <v>32</v>
      </c>
      <c r="L161" s="2">
        <f ca="1">AVERAGE(OFFSET(USD_NGN_Historical_Data__17[[#This Row],[Rate]], -6, 0, 7, 1))</f>
        <v>765.33142857142855</v>
      </c>
      <c r="M161" s="2" t="str">
        <f t="shared" si="17"/>
        <v>Fri</v>
      </c>
    </row>
    <row r="162" spans="1:13" x14ac:dyDescent="0.35">
      <c r="A162" s="4">
        <v>45152</v>
      </c>
      <c r="B162" s="2">
        <v>766</v>
      </c>
      <c r="C162" s="2">
        <v>769.27</v>
      </c>
      <c r="D162" s="2">
        <v>770.38499999999999</v>
      </c>
      <c r="E162" s="2">
        <v>766.4</v>
      </c>
      <c r="F162" s="1">
        <v>-2.3E-3</v>
      </c>
      <c r="G162" s="2">
        <f t="shared" si="12"/>
        <v>2023</v>
      </c>
      <c r="H162" s="2" t="str">
        <f t="shared" si="13"/>
        <v>Aug</v>
      </c>
      <c r="I162" s="2">
        <f t="shared" si="14"/>
        <v>8</v>
      </c>
      <c r="J162" s="2" t="str">
        <f t="shared" si="15"/>
        <v>2023-08</v>
      </c>
      <c r="K162" s="2">
        <f t="shared" si="16"/>
        <v>33</v>
      </c>
      <c r="L162" s="2">
        <f ca="1">AVERAGE(OFFSET(USD_NGN_Historical_Data__17[[#This Row],[Rate]], -6, 0, 7, 1))</f>
        <v>763.76</v>
      </c>
      <c r="M162" s="2" t="str">
        <f t="shared" si="17"/>
        <v>Mon</v>
      </c>
    </row>
    <row r="163" spans="1:13" x14ac:dyDescent="0.35">
      <c r="A163" s="4">
        <v>45153</v>
      </c>
      <c r="B163" s="2">
        <v>759</v>
      </c>
      <c r="C163" s="2">
        <v>766.4</v>
      </c>
      <c r="D163" s="2">
        <v>766.4</v>
      </c>
      <c r="E163" s="2">
        <v>755.5</v>
      </c>
      <c r="F163" s="1">
        <v>-9.1000000000000004E-3</v>
      </c>
      <c r="G163" s="2">
        <f t="shared" si="12"/>
        <v>2023</v>
      </c>
      <c r="H163" s="2" t="str">
        <f t="shared" si="13"/>
        <v>Aug</v>
      </c>
      <c r="I163" s="2">
        <f t="shared" si="14"/>
        <v>8</v>
      </c>
      <c r="J163" s="2" t="str">
        <f t="shared" si="15"/>
        <v>2023-08</v>
      </c>
      <c r="K163" s="2">
        <f t="shared" si="16"/>
        <v>33</v>
      </c>
      <c r="L163" s="2">
        <f ca="1">AVERAGE(OFFSET(USD_NGN_Historical_Data__17[[#This Row],[Rate]], -6, 0, 7, 1))</f>
        <v>762.76714285714286</v>
      </c>
      <c r="M163" s="2" t="str">
        <f t="shared" si="17"/>
        <v>Tue</v>
      </c>
    </row>
    <row r="164" spans="1:13" x14ac:dyDescent="0.35">
      <c r="A164" s="4">
        <v>45154</v>
      </c>
      <c r="B164" s="2">
        <v>784.39</v>
      </c>
      <c r="C164" s="2">
        <v>760.5</v>
      </c>
      <c r="D164" s="2">
        <v>785.89</v>
      </c>
      <c r="E164" s="2">
        <v>760.5</v>
      </c>
      <c r="F164" s="1">
        <v>3.3500000000000002E-2</v>
      </c>
      <c r="G164" s="2">
        <f t="shared" si="12"/>
        <v>2023</v>
      </c>
      <c r="H164" s="2" t="str">
        <f t="shared" si="13"/>
        <v>Aug</v>
      </c>
      <c r="I164" s="2">
        <f t="shared" si="14"/>
        <v>8</v>
      </c>
      <c r="J164" s="2" t="str">
        <f t="shared" si="15"/>
        <v>2023-08</v>
      </c>
      <c r="K164" s="2">
        <f t="shared" si="16"/>
        <v>33</v>
      </c>
      <c r="L164" s="2">
        <f ca="1">AVERAGE(OFFSET(USD_NGN_Historical_Data__17[[#This Row],[Rate]], -6, 0, 7, 1))</f>
        <v>767.73428571428576</v>
      </c>
      <c r="M164" s="2" t="str">
        <f t="shared" si="17"/>
        <v>Wed</v>
      </c>
    </row>
    <row r="165" spans="1:13" x14ac:dyDescent="0.35">
      <c r="A165" s="4">
        <v>45155</v>
      </c>
      <c r="B165" s="2">
        <v>766.47</v>
      </c>
      <c r="C165" s="2">
        <v>785.89</v>
      </c>
      <c r="D165" s="2">
        <v>785.89</v>
      </c>
      <c r="E165" s="2">
        <v>761.5</v>
      </c>
      <c r="F165" s="1">
        <v>-2.2800000000000001E-2</v>
      </c>
      <c r="G165" s="2">
        <f t="shared" si="12"/>
        <v>2023</v>
      </c>
      <c r="H165" s="2" t="str">
        <f t="shared" si="13"/>
        <v>Aug</v>
      </c>
      <c r="I165" s="2">
        <f t="shared" si="14"/>
        <v>8</v>
      </c>
      <c r="J165" s="2" t="str">
        <f t="shared" si="15"/>
        <v>2023-08</v>
      </c>
      <c r="K165" s="2">
        <f t="shared" si="16"/>
        <v>33</v>
      </c>
      <c r="L165" s="2">
        <f ca="1">AVERAGE(OFFSET(USD_NGN_Historical_Data__17[[#This Row],[Rate]], -6, 0, 7, 1))</f>
        <v>768.45285714285717</v>
      </c>
      <c r="M165" s="2" t="str">
        <f t="shared" si="17"/>
        <v>Thu</v>
      </c>
    </row>
    <row r="166" spans="1:13" x14ac:dyDescent="0.35">
      <c r="A166" s="4">
        <v>45156</v>
      </c>
      <c r="B166" s="2">
        <v>744.93</v>
      </c>
      <c r="C166" s="2">
        <v>767.97</v>
      </c>
      <c r="D166" s="2">
        <v>769.5</v>
      </c>
      <c r="E166" s="2">
        <v>746.43</v>
      </c>
      <c r="F166" s="1">
        <v>-2.81E-2</v>
      </c>
      <c r="G166" s="2">
        <f t="shared" si="12"/>
        <v>2023</v>
      </c>
      <c r="H166" s="2" t="str">
        <f t="shared" si="13"/>
        <v>Aug</v>
      </c>
      <c r="I166" s="2">
        <f t="shared" si="14"/>
        <v>8</v>
      </c>
      <c r="J166" s="2" t="str">
        <f t="shared" si="15"/>
        <v>2023-08</v>
      </c>
      <c r="K166" s="2">
        <f t="shared" si="16"/>
        <v>33</v>
      </c>
      <c r="L166" s="2">
        <f ca="1">AVERAGE(OFFSET(USD_NGN_Historical_Data__17[[#This Row],[Rate]], -6, 0, 7, 1))</f>
        <v>765.18999999999994</v>
      </c>
      <c r="M166" s="2" t="str">
        <f t="shared" si="17"/>
        <v>Fri</v>
      </c>
    </row>
    <row r="167" spans="1:13" x14ac:dyDescent="0.35">
      <c r="A167" s="4">
        <v>45159</v>
      </c>
      <c r="B167" s="2">
        <v>743.64</v>
      </c>
      <c r="C167" s="2">
        <v>746.43</v>
      </c>
      <c r="D167" s="2">
        <v>769.5</v>
      </c>
      <c r="E167" s="2">
        <v>745.14</v>
      </c>
      <c r="F167" s="1">
        <v>-1.6999999999999999E-3</v>
      </c>
      <c r="G167" s="2">
        <f t="shared" si="12"/>
        <v>2023</v>
      </c>
      <c r="H167" s="2" t="str">
        <f t="shared" si="13"/>
        <v>Aug</v>
      </c>
      <c r="I167" s="2">
        <f t="shared" si="14"/>
        <v>8</v>
      </c>
      <c r="J167" s="2" t="str">
        <f t="shared" si="15"/>
        <v>2023-08</v>
      </c>
      <c r="K167" s="2">
        <f t="shared" si="16"/>
        <v>34</v>
      </c>
      <c r="L167" s="2">
        <f ca="1">AVERAGE(OFFSET(USD_NGN_Historical_Data__17[[#This Row],[Rate]], -6, 0, 7, 1))</f>
        <v>761.74285714285725</v>
      </c>
      <c r="M167" s="2" t="str">
        <f t="shared" si="17"/>
        <v>Mon</v>
      </c>
    </row>
    <row r="168" spans="1:13" x14ac:dyDescent="0.35">
      <c r="A168" s="4">
        <v>45160</v>
      </c>
      <c r="B168" s="2">
        <v>760.79</v>
      </c>
      <c r="C168" s="2">
        <v>745.14</v>
      </c>
      <c r="D168" s="2">
        <v>769.5</v>
      </c>
      <c r="E168" s="2">
        <v>745.14</v>
      </c>
      <c r="F168" s="1">
        <v>2.3099999999999999E-2</v>
      </c>
      <c r="G168" s="2">
        <f t="shared" si="12"/>
        <v>2023</v>
      </c>
      <c r="H168" s="2" t="str">
        <f t="shared" si="13"/>
        <v>Aug</v>
      </c>
      <c r="I168" s="2">
        <f t="shared" si="14"/>
        <v>8</v>
      </c>
      <c r="J168" s="2" t="str">
        <f t="shared" si="15"/>
        <v>2023-08</v>
      </c>
      <c r="K168" s="2">
        <f t="shared" si="16"/>
        <v>34</v>
      </c>
      <c r="L168" s="2">
        <f ca="1">AVERAGE(OFFSET(USD_NGN_Historical_Data__17[[#This Row],[Rate]], -6, 0, 7, 1))</f>
        <v>760.74571428571414</v>
      </c>
      <c r="M168" s="2" t="str">
        <f t="shared" si="17"/>
        <v>Tue</v>
      </c>
    </row>
    <row r="169" spans="1:13" x14ac:dyDescent="0.35">
      <c r="A169" s="4">
        <v>45161</v>
      </c>
      <c r="B169" s="2">
        <v>755.27</v>
      </c>
      <c r="C169" s="2">
        <v>762.29</v>
      </c>
      <c r="D169" s="2">
        <v>762.29</v>
      </c>
      <c r="E169" s="2">
        <v>756.77</v>
      </c>
      <c r="F169" s="1">
        <v>-7.3000000000000001E-3</v>
      </c>
      <c r="G169" s="2">
        <f t="shared" si="12"/>
        <v>2023</v>
      </c>
      <c r="H169" s="2" t="str">
        <f t="shared" si="13"/>
        <v>Aug</v>
      </c>
      <c r="I169" s="2">
        <f t="shared" si="14"/>
        <v>8</v>
      </c>
      <c r="J169" s="2" t="str">
        <f t="shared" si="15"/>
        <v>2023-08</v>
      </c>
      <c r="K169" s="2">
        <f t="shared" si="16"/>
        <v>34</v>
      </c>
      <c r="L169" s="2">
        <f ca="1">AVERAGE(OFFSET(USD_NGN_Historical_Data__17[[#This Row],[Rate]], -6, 0, 7, 1))</f>
        <v>759.21285714285716</v>
      </c>
      <c r="M169" s="2" t="str">
        <f t="shared" si="17"/>
        <v>Wed</v>
      </c>
    </row>
    <row r="170" spans="1:13" x14ac:dyDescent="0.35">
      <c r="A170" s="4">
        <v>45162</v>
      </c>
      <c r="B170" s="2">
        <v>754.21</v>
      </c>
      <c r="C170" s="2">
        <v>756.77</v>
      </c>
      <c r="D170" s="2">
        <v>773.5</v>
      </c>
      <c r="E170" s="2">
        <v>755.10500000000002</v>
      </c>
      <c r="F170" s="1">
        <v>-1.4E-3</v>
      </c>
      <c r="G170" s="2">
        <f t="shared" si="12"/>
        <v>2023</v>
      </c>
      <c r="H170" s="2" t="str">
        <f t="shared" si="13"/>
        <v>Aug</v>
      </c>
      <c r="I170" s="2">
        <f t="shared" si="14"/>
        <v>8</v>
      </c>
      <c r="J170" s="2" t="str">
        <f t="shared" si="15"/>
        <v>2023-08</v>
      </c>
      <c r="K170" s="2">
        <f t="shared" si="16"/>
        <v>34</v>
      </c>
      <c r="L170" s="2">
        <f ca="1">AVERAGE(OFFSET(USD_NGN_Historical_Data__17[[#This Row],[Rate]], -6, 0, 7, 1))</f>
        <v>758.52857142857135</v>
      </c>
      <c r="M170" s="2" t="str">
        <f t="shared" si="17"/>
        <v>Thu</v>
      </c>
    </row>
    <row r="171" spans="1:13" x14ac:dyDescent="0.35">
      <c r="A171" s="4">
        <v>45163</v>
      </c>
      <c r="B171" s="2">
        <v>770.84</v>
      </c>
      <c r="C171" s="2">
        <v>755.71</v>
      </c>
      <c r="D171" s="2">
        <v>774.5</v>
      </c>
      <c r="E171" s="2">
        <v>740.5</v>
      </c>
      <c r="F171" s="1">
        <v>2.1999999999999999E-2</v>
      </c>
      <c r="G171" s="2">
        <f t="shared" si="12"/>
        <v>2023</v>
      </c>
      <c r="H171" s="2" t="str">
        <f t="shared" si="13"/>
        <v>Aug</v>
      </c>
      <c r="I171" s="2">
        <f t="shared" si="14"/>
        <v>8</v>
      </c>
      <c r="J171" s="2" t="str">
        <f t="shared" si="15"/>
        <v>2023-08</v>
      </c>
      <c r="K171" s="2">
        <f t="shared" si="16"/>
        <v>34</v>
      </c>
      <c r="L171" s="2">
        <f ca="1">AVERAGE(OFFSET(USD_NGN_Historical_Data__17[[#This Row],[Rate]], -6, 0, 7, 1))</f>
        <v>756.59285714285704</v>
      </c>
      <c r="M171" s="2" t="str">
        <f t="shared" si="17"/>
        <v>Fri</v>
      </c>
    </row>
    <row r="172" spans="1:13" x14ac:dyDescent="0.35">
      <c r="A172" s="4">
        <v>45166</v>
      </c>
      <c r="B172" s="2">
        <v>773.9</v>
      </c>
      <c r="C172" s="2">
        <v>772.34</v>
      </c>
      <c r="D172" s="2">
        <v>774.4</v>
      </c>
      <c r="E172" s="2">
        <v>771.34</v>
      </c>
      <c r="F172" s="1">
        <v>4.0000000000000001E-3</v>
      </c>
      <c r="G172" s="2">
        <f t="shared" si="12"/>
        <v>2023</v>
      </c>
      <c r="H172" s="2" t="str">
        <f t="shared" si="13"/>
        <v>Aug</v>
      </c>
      <c r="I172" s="2">
        <f t="shared" si="14"/>
        <v>8</v>
      </c>
      <c r="J172" s="2" t="str">
        <f t="shared" si="15"/>
        <v>2023-08</v>
      </c>
      <c r="K172" s="2">
        <f t="shared" si="16"/>
        <v>35</v>
      </c>
      <c r="L172" s="2">
        <f ca="1">AVERAGE(OFFSET(USD_NGN_Historical_Data__17[[#This Row],[Rate]], -6, 0, 7, 1))</f>
        <v>757.65428571428561</v>
      </c>
      <c r="M172" s="2" t="str">
        <f t="shared" si="17"/>
        <v>Mon</v>
      </c>
    </row>
    <row r="173" spans="1:13" x14ac:dyDescent="0.35">
      <c r="A173" s="4">
        <v>45167</v>
      </c>
      <c r="B173" s="2">
        <v>771.97</v>
      </c>
      <c r="C173" s="2">
        <v>774.4</v>
      </c>
      <c r="D173" s="2">
        <v>774.4</v>
      </c>
      <c r="E173" s="2">
        <v>760.5</v>
      </c>
      <c r="F173" s="1">
        <v>-2.5000000000000001E-3</v>
      </c>
      <c r="G173" s="2">
        <f t="shared" si="12"/>
        <v>2023</v>
      </c>
      <c r="H173" s="2" t="str">
        <f t="shared" si="13"/>
        <v>Aug</v>
      </c>
      <c r="I173" s="2">
        <f t="shared" si="14"/>
        <v>8</v>
      </c>
      <c r="J173" s="2" t="str">
        <f t="shared" si="15"/>
        <v>2023-08</v>
      </c>
      <c r="K173" s="2">
        <f t="shared" si="16"/>
        <v>35</v>
      </c>
      <c r="L173" s="2">
        <f ca="1">AVERAGE(OFFSET(USD_NGN_Historical_Data__17[[#This Row],[Rate]], -6, 0, 7, 1))</f>
        <v>761.51714285714286</v>
      </c>
      <c r="M173" s="2" t="str">
        <f t="shared" si="17"/>
        <v>Tue</v>
      </c>
    </row>
    <row r="174" spans="1:13" x14ac:dyDescent="0.35">
      <c r="A174" s="4">
        <v>45168</v>
      </c>
      <c r="B174" s="2">
        <v>773</v>
      </c>
      <c r="C174" s="2">
        <v>772.47</v>
      </c>
      <c r="D174" s="2">
        <v>784.5</v>
      </c>
      <c r="E174" s="2">
        <v>740.5</v>
      </c>
      <c r="F174" s="1">
        <v>1.2999999999999999E-3</v>
      </c>
      <c r="G174" s="2">
        <f t="shared" si="12"/>
        <v>2023</v>
      </c>
      <c r="H174" s="2" t="str">
        <f t="shared" si="13"/>
        <v>Aug</v>
      </c>
      <c r="I174" s="2">
        <f t="shared" si="14"/>
        <v>8</v>
      </c>
      <c r="J174" s="2" t="str">
        <f t="shared" si="15"/>
        <v>2023-08</v>
      </c>
      <c r="K174" s="2">
        <f t="shared" si="16"/>
        <v>35</v>
      </c>
      <c r="L174" s="2">
        <f ca="1">AVERAGE(OFFSET(USD_NGN_Historical_Data__17[[#This Row],[Rate]], -6, 0, 7, 1))</f>
        <v>765.71142857142866</v>
      </c>
      <c r="M174" s="2" t="str">
        <f t="shared" si="17"/>
        <v>Wed</v>
      </c>
    </row>
    <row r="175" spans="1:13" x14ac:dyDescent="0.35">
      <c r="A175" s="4">
        <v>45169</v>
      </c>
      <c r="B175" s="2">
        <v>773</v>
      </c>
      <c r="C175" s="2">
        <v>773.5</v>
      </c>
      <c r="D175" s="2">
        <v>774.5</v>
      </c>
      <c r="E175" s="2">
        <v>773.5</v>
      </c>
      <c r="F175" s="1">
        <v>0</v>
      </c>
      <c r="G175" s="2">
        <f t="shared" si="12"/>
        <v>2023</v>
      </c>
      <c r="H175" s="2" t="str">
        <f t="shared" si="13"/>
        <v>Aug</v>
      </c>
      <c r="I175" s="2">
        <f t="shared" si="14"/>
        <v>8</v>
      </c>
      <c r="J175" s="2" t="str">
        <f t="shared" si="15"/>
        <v>2023-08</v>
      </c>
      <c r="K175" s="2">
        <f t="shared" si="16"/>
        <v>35</v>
      </c>
      <c r="L175" s="2">
        <f ca="1">AVERAGE(OFFSET(USD_NGN_Historical_Data__17[[#This Row],[Rate]], -6, 0, 7, 1))</f>
        <v>767.45571428571441</v>
      </c>
      <c r="M175" s="2" t="str">
        <f t="shared" si="17"/>
        <v>Thu</v>
      </c>
    </row>
    <row r="176" spans="1:13" x14ac:dyDescent="0.35">
      <c r="A176" s="4">
        <v>45170</v>
      </c>
      <c r="B176" s="2">
        <v>756.52</v>
      </c>
      <c r="C176" s="2">
        <v>773.5</v>
      </c>
      <c r="D176" s="2">
        <v>775.5</v>
      </c>
      <c r="E176" s="2">
        <v>738.5</v>
      </c>
      <c r="F176" s="1">
        <v>-2.1299999999999999E-2</v>
      </c>
      <c r="G176" s="2">
        <f t="shared" si="12"/>
        <v>2023</v>
      </c>
      <c r="H176" s="2" t="str">
        <f t="shared" si="13"/>
        <v>Sep</v>
      </c>
      <c r="I176" s="2">
        <f t="shared" si="14"/>
        <v>9</v>
      </c>
      <c r="J176" s="2" t="str">
        <f t="shared" si="15"/>
        <v>2023-09</v>
      </c>
      <c r="K176" s="2">
        <f t="shared" si="16"/>
        <v>35</v>
      </c>
      <c r="L176" s="2">
        <f ca="1">AVERAGE(OFFSET(USD_NGN_Historical_Data__17[[#This Row],[Rate]], -6, 0, 7, 1))</f>
        <v>767.63428571428574</v>
      </c>
      <c r="M176" s="2" t="str">
        <f t="shared" si="17"/>
        <v>Fri</v>
      </c>
    </row>
    <row r="177" spans="1:13" x14ac:dyDescent="0.35">
      <c r="A177" s="4">
        <v>45173</v>
      </c>
      <c r="B177" s="2">
        <v>756.52</v>
      </c>
      <c r="C177" s="2">
        <v>757.02</v>
      </c>
      <c r="D177" s="2">
        <v>757.02</v>
      </c>
      <c r="E177" s="2">
        <v>757.02</v>
      </c>
      <c r="F177" s="1">
        <v>0</v>
      </c>
      <c r="G177" s="2">
        <f t="shared" si="12"/>
        <v>2023</v>
      </c>
      <c r="H177" s="2" t="str">
        <f t="shared" si="13"/>
        <v>Sep</v>
      </c>
      <c r="I177" s="2">
        <f t="shared" si="14"/>
        <v>9</v>
      </c>
      <c r="J177" s="2" t="str">
        <f t="shared" si="15"/>
        <v>2023-09</v>
      </c>
      <c r="K177" s="2">
        <f t="shared" si="16"/>
        <v>36</v>
      </c>
      <c r="L177" s="2">
        <f ca="1">AVERAGE(OFFSET(USD_NGN_Historical_Data__17[[#This Row],[Rate]], -6, 0, 7, 1))</f>
        <v>767.96428571428567</v>
      </c>
      <c r="M177" s="2" t="str">
        <f t="shared" si="17"/>
        <v>Mon</v>
      </c>
    </row>
    <row r="178" spans="1:13" x14ac:dyDescent="0.35">
      <c r="A178" s="4">
        <v>45174</v>
      </c>
      <c r="B178" s="2">
        <v>760.53</v>
      </c>
      <c r="C178" s="2">
        <v>757.02</v>
      </c>
      <c r="D178" s="2">
        <v>765.5</v>
      </c>
      <c r="E178" s="2">
        <v>744.5</v>
      </c>
      <c r="F178" s="1">
        <v>5.3E-3</v>
      </c>
      <c r="G178" s="2">
        <f t="shared" si="12"/>
        <v>2023</v>
      </c>
      <c r="H178" s="2" t="str">
        <f t="shared" si="13"/>
        <v>Sep</v>
      </c>
      <c r="I178" s="2">
        <f t="shared" si="14"/>
        <v>9</v>
      </c>
      <c r="J178" s="2" t="str">
        <f t="shared" si="15"/>
        <v>2023-09</v>
      </c>
      <c r="K178" s="2">
        <f t="shared" si="16"/>
        <v>36</v>
      </c>
      <c r="L178" s="2">
        <f ca="1">AVERAGE(OFFSET(USD_NGN_Historical_Data__17[[#This Row],[Rate]], -6, 0, 7, 1))</f>
        <v>766.49142857142851</v>
      </c>
      <c r="M178" s="2" t="str">
        <f t="shared" si="17"/>
        <v>Tue</v>
      </c>
    </row>
    <row r="179" spans="1:13" x14ac:dyDescent="0.35">
      <c r="A179" s="4">
        <v>45175</v>
      </c>
      <c r="B179" s="2">
        <v>753</v>
      </c>
      <c r="C179" s="2">
        <v>761.03</v>
      </c>
      <c r="D179" s="2">
        <v>761.03</v>
      </c>
      <c r="E179" s="2">
        <v>753.93</v>
      </c>
      <c r="F179" s="1">
        <v>-9.9000000000000008E-3</v>
      </c>
      <c r="G179" s="2">
        <f t="shared" si="12"/>
        <v>2023</v>
      </c>
      <c r="H179" s="2" t="str">
        <f t="shared" si="13"/>
        <v>Sep</v>
      </c>
      <c r="I179" s="2">
        <f t="shared" si="14"/>
        <v>9</v>
      </c>
      <c r="J179" s="2" t="str">
        <f t="shared" si="15"/>
        <v>2023-09</v>
      </c>
      <c r="K179" s="2">
        <f t="shared" si="16"/>
        <v>36</v>
      </c>
      <c r="L179" s="2">
        <f ca="1">AVERAGE(OFFSET(USD_NGN_Historical_Data__17[[#This Row],[Rate]], -6, 0, 7, 1))</f>
        <v>763.50571428571425</v>
      </c>
      <c r="M179" s="2" t="str">
        <f t="shared" si="17"/>
        <v>Wed</v>
      </c>
    </row>
    <row r="180" spans="1:13" x14ac:dyDescent="0.35">
      <c r="A180" s="4">
        <v>45176</v>
      </c>
      <c r="B180" s="2">
        <v>784.53</v>
      </c>
      <c r="C180" s="2">
        <v>754.36</v>
      </c>
      <c r="D180" s="2">
        <v>785.03</v>
      </c>
      <c r="E180" s="2">
        <v>754.36</v>
      </c>
      <c r="F180" s="1">
        <v>4.19E-2</v>
      </c>
      <c r="G180" s="2">
        <f t="shared" si="12"/>
        <v>2023</v>
      </c>
      <c r="H180" s="2" t="str">
        <f t="shared" si="13"/>
        <v>Sep</v>
      </c>
      <c r="I180" s="2">
        <f t="shared" si="14"/>
        <v>9</v>
      </c>
      <c r="J180" s="2" t="str">
        <f t="shared" si="15"/>
        <v>2023-09</v>
      </c>
      <c r="K180" s="2">
        <f t="shared" si="16"/>
        <v>36</v>
      </c>
      <c r="L180" s="2">
        <f ca="1">AVERAGE(OFFSET(USD_NGN_Historical_Data__17[[#This Row],[Rate]], -6, 0, 7, 1))</f>
        <v>765.3</v>
      </c>
      <c r="M180" s="2" t="str">
        <f t="shared" si="17"/>
        <v>Thu</v>
      </c>
    </row>
    <row r="181" spans="1:13" x14ac:dyDescent="0.35">
      <c r="A181" s="4">
        <v>45177</v>
      </c>
      <c r="B181" s="2">
        <v>789</v>
      </c>
      <c r="C181" s="2">
        <v>785.03</v>
      </c>
      <c r="D181" s="2">
        <v>789.5</v>
      </c>
      <c r="E181" s="2">
        <v>785.03</v>
      </c>
      <c r="F181" s="1">
        <v>5.7000000000000002E-3</v>
      </c>
      <c r="G181" s="2">
        <f t="shared" si="12"/>
        <v>2023</v>
      </c>
      <c r="H181" s="2" t="str">
        <f t="shared" si="13"/>
        <v>Sep</v>
      </c>
      <c r="I181" s="2">
        <f t="shared" si="14"/>
        <v>9</v>
      </c>
      <c r="J181" s="2" t="str">
        <f t="shared" si="15"/>
        <v>2023-09</v>
      </c>
      <c r="K181" s="2">
        <f t="shared" si="16"/>
        <v>36</v>
      </c>
      <c r="L181" s="2">
        <f ca="1">AVERAGE(OFFSET(USD_NGN_Historical_Data__17[[#This Row],[Rate]], -6, 0, 7, 1))</f>
        <v>767.58571428571418</v>
      </c>
      <c r="M181" s="2" t="str">
        <f t="shared" si="17"/>
        <v>Fri</v>
      </c>
    </row>
    <row r="182" spans="1:13" x14ac:dyDescent="0.35">
      <c r="A182" s="4">
        <v>45180</v>
      </c>
      <c r="B182" s="2">
        <v>737.54</v>
      </c>
      <c r="C182" s="2">
        <v>750.5</v>
      </c>
      <c r="D182" s="2">
        <v>755</v>
      </c>
      <c r="E182" s="2">
        <v>738.04</v>
      </c>
      <c r="F182" s="1">
        <v>-6.5199999999999994E-2</v>
      </c>
      <c r="G182" s="2">
        <f t="shared" si="12"/>
        <v>2023</v>
      </c>
      <c r="H182" s="2" t="str">
        <f t="shared" si="13"/>
        <v>Sep</v>
      </c>
      <c r="I182" s="2">
        <f t="shared" si="14"/>
        <v>9</v>
      </c>
      <c r="J182" s="2" t="str">
        <f t="shared" si="15"/>
        <v>2023-09</v>
      </c>
      <c r="K182" s="2">
        <f t="shared" si="16"/>
        <v>37</v>
      </c>
      <c r="L182" s="2">
        <f ca="1">AVERAGE(OFFSET(USD_NGN_Historical_Data__17[[#This Row],[Rate]], -6, 0, 7, 1))</f>
        <v>762.51999999999987</v>
      </c>
      <c r="M182" s="2" t="str">
        <f t="shared" si="17"/>
        <v>Mon</v>
      </c>
    </row>
    <row r="183" spans="1:13" x14ac:dyDescent="0.35">
      <c r="A183" s="4">
        <v>45181</v>
      </c>
      <c r="B183" s="2">
        <v>770.33</v>
      </c>
      <c r="C183" s="2">
        <v>738.04</v>
      </c>
      <c r="D183" s="2">
        <v>770.83</v>
      </c>
      <c r="E183" s="2">
        <v>738.04</v>
      </c>
      <c r="F183" s="1">
        <v>4.4499999999999998E-2</v>
      </c>
      <c r="G183" s="2">
        <f t="shared" si="12"/>
        <v>2023</v>
      </c>
      <c r="H183" s="2" t="str">
        <f t="shared" si="13"/>
        <v>Sep</v>
      </c>
      <c r="I183" s="2">
        <f t="shared" si="14"/>
        <v>9</v>
      </c>
      <c r="J183" s="2" t="str">
        <f t="shared" si="15"/>
        <v>2023-09</v>
      </c>
      <c r="K183" s="2">
        <f t="shared" si="16"/>
        <v>37</v>
      </c>
      <c r="L183" s="2">
        <f ca="1">AVERAGE(OFFSET(USD_NGN_Historical_Data__17[[#This Row],[Rate]], -6, 0, 7, 1))</f>
        <v>764.49285714285713</v>
      </c>
      <c r="M183" s="2" t="str">
        <f t="shared" si="17"/>
        <v>Tue</v>
      </c>
    </row>
    <row r="184" spans="1:13" x14ac:dyDescent="0.35">
      <c r="A184" s="4">
        <v>45182</v>
      </c>
      <c r="B184" s="2">
        <v>746.18</v>
      </c>
      <c r="C184" s="2">
        <v>770.83</v>
      </c>
      <c r="D184" s="2">
        <v>770.83</v>
      </c>
      <c r="E184" s="2">
        <v>744.5</v>
      </c>
      <c r="F184" s="1">
        <v>-3.1399999999999997E-2</v>
      </c>
      <c r="G184" s="2">
        <f t="shared" si="12"/>
        <v>2023</v>
      </c>
      <c r="H184" s="2" t="str">
        <f t="shared" si="13"/>
        <v>Sep</v>
      </c>
      <c r="I184" s="2">
        <f t="shared" si="14"/>
        <v>9</v>
      </c>
      <c r="J184" s="2" t="str">
        <f t="shared" si="15"/>
        <v>2023-09</v>
      </c>
      <c r="K184" s="2">
        <f t="shared" si="16"/>
        <v>37</v>
      </c>
      <c r="L184" s="2">
        <f ca="1">AVERAGE(OFFSET(USD_NGN_Historical_Data__17[[#This Row],[Rate]], -6, 0, 7, 1))</f>
        <v>763.01571428571435</v>
      </c>
      <c r="M184" s="2" t="str">
        <f t="shared" si="17"/>
        <v>Wed</v>
      </c>
    </row>
    <row r="185" spans="1:13" x14ac:dyDescent="0.35">
      <c r="A185" s="4">
        <v>45183</v>
      </c>
      <c r="B185" s="2">
        <v>783</v>
      </c>
      <c r="C185" s="2">
        <v>746.68</v>
      </c>
      <c r="D185" s="2">
        <v>784.5</v>
      </c>
      <c r="E185" s="2">
        <v>746.68</v>
      </c>
      <c r="F185" s="1">
        <v>4.9299999999999997E-2</v>
      </c>
      <c r="G185" s="2">
        <f t="shared" si="12"/>
        <v>2023</v>
      </c>
      <c r="H185" s="2" t="str">
        <f t="shared" si="13"/>
        <v>Sep</v>
      </c>
      <c r="I185" s="2">
        <f t="shared" si="14"/>
        <v>9</v>
      </c>
      <c r="J185" s="2" t="str">
        <f t="shared" si="15"/>
        <v>2023-09</v>
      </c>
      <c r="K185" s="2">
        <f t="shared" si="16"/>
        <v>37</v>
      </c>
      <c r="L185" s="2">
        <f ca="1">AVERAGE(OFFSET(USD_NGN_Historical_Data__17[[#This Row],[Rate]], -6, 0, 7, 1))</f>
        <v>766.22571428571428</v>
      </c>
      <c r="M185" s="2" t="str">
        <f t="shared" si="17"/>
        <v>Thu</v>
      </c>
    </row>
    <row r="186" spans="1:13" x14ac:dyDescent="0.35">
      <c r="A186" s="4">
        <v>45184</v>
      </c>
      <c r="B186" s="2">
        <v>767.74</v>
      </c>
      <c r="C186" s="2">
        <v>768.69</v>
      </c>
      <c r="D186" s="2">
        <v>789.5</v>
      </c>
      <c r="E186" s="2">
        <v>768.24</v>
      </c>
      <c r="F186" s="1">
        <v>-1.95E-2</v>
      </c>
      <c r="G186" s="2">
        <f t="shared" si="12"/>
        <v>2023</v>
      </c>
      <c r="H186" s="2" t="str">
        <f t="shared" si="13"/>
        <v>Sep</v>
      </c>
      <c r="I186" s="2">
        <f t="shared" si="14"/>
        <v>9</v>
      </c>
      <c r="J186" s="2" t="str">
        <f t="shared" si="15"/>
        <v>2023-09</v>
      </c>
      <c r="K186" s="2">
        <f t="shared" si="16"/>
        <v>37</v>
      </c>
      <c r="L186" s="2">
        <f ca="1">AVERAGE(OFFSET(USD_NGN_Historical_Data__17[[#This Row],[Rate]], -6, 0, 7, 1))</f>
        <v>768.33142857142855</v>
      </c>
      <c r="M186" s="2" t="str">
        <f t="shared" si="17"/>
        <v>Fri</v>
      </c>
    </row>
    <row r="187" spans="1:13" x14ac:dyDescent="0.35">
      <c r="A187" s="4">
        <v>45187</v>
      </c>
      <c r="B187" s="2">
        <v>759.93</v>
      </c>
      <c r="C187" s="2">
        <v>768.24</v>
      </c>
      <c r="D187" s="2">
        <v>789.5</v>
      </c>
      <c r="E187" s="2">
        <v>760.43</v>
      </c>
      <c r="F187" s="1">
        <v>-1.0200000000000001E-2</v>
      </c>
      <c r="G187" s="2">
        <f t="shared" si="12"/>
        <v>2023</v>
      </c>
      <c r="H187" s="2" t="str">
        <f t="shared" si="13"/>
        <v>Sep</v>
      </c>
      <c r="I187" s="2">
        <f t="shared" si="14"/>
        <v>9</v>
      </c>
      <c r="J187" s="2" t="str">
        <f t="shared" si="15"/>
        <v>2023-09</v>
      </c>
      <c r="K187" s="2">
        <f t="shared" si="16"/>
        <v>38</v>
      </c>
      <c r="L187" s="2">
        <f ca="1">AVERAGE(OFFSET(USD_NGN_Historical_Data__17[[#This Row],[Rate]], -6, 0, 7, 1))</f>
        <v>764.81714285714293</v>
      </c>
      <c r="M187" s="2" t="str">
        <f t="shared" si="17"/>
        <v>Mon</v>
      </c>
    </row>
    <row r="188" spans="1:13" x14ac:dyDescent="0.35">
      <c r="A188" s="4">
        <v>45188</v>
      </c>
      <c r="B188" s="2">
        <v>775.33</v>
      </c>
      <c r="C188" s="2">
        <v>760.43</v>
      </c>
      <c r="D188" s="2">
        <v>789.5</v>
      </c>
      <c r="E188" s="2">
        <v>760.43</v>
      </c>
      <c r="F188" s="1">
        <v>2.0299999999999999E-2</v>
      </c>
      <c r="G188" s="2">
        <f t="shared" si="12"/>
        <v>2023</v>
      </c>
      <c r="H188" s="2" t="str">
        <f t="shared" si="13"/>
        <v>Sep</v>
      </c>
      <c r="I188" s="2">
        <f t="shared" si="14"/>
        <v>9</v>
      </c>
      <c r="J188" s="2" t="str">
        <f t="shared" si="15"/>
        <v>2023-09</v>
      </c>
      <c r="K188" s="2">
        <f t="shared" si="16"/>
        <v>38</v>
      </c>
      <c r="L188" s="2">
        <f ca="1">AVERAGE(OFFSET(USD_NGN_Historical_Data__17[[#This Row],[Rate]], -6, 0, 7, 1))</f>
        <v>762.86428571428576</v>
      </c>
      <c r="M188" s="2" t="str">
        <f t="shared" si="17"/>
        <v>Tue</v>
      </c>
    </row>
    <row r="189" spans="1:13" x14ac:dyDescent="0.35">
      <c r="A189" s="4">
        <v>45189</v>
      </c>
      <c r="B189" s="2">
        <v>770.27</v>
      </c>
      <c r="C189" s="2">
        <v>775.83</v>
      </c>
      <c r="D189" s="2">
        <v>784.5</v>
      </c>
      <c r="E189" s="2">
        <v>770.77</v>
      </c>
      <c r="F189" s="1">
        <v>-6.4999999999999997E-3</v>
      </c>
      <c r="G189" s="2">
        <f t="shared" si="12"/>
        <v>2023</v>
      </c>
      <c r="H189" s="2" t="str">
        <f t="shared" si="13"/>
        <v>Sep</v>
      </c>
      <c r="I189" s="2">
        <f t="shared" si="14"/>
        <v>9</v>
      </c>
      <c r="J189" s="2" t="str">
        <f t="shared" si="15"/>
        <v>2023-09</v>
      </c>
      <c r="K189" s="2">
        <f t="shared" si="16"/>
        <v>38</v>
      </c>
      <c r="L189" s="2">
        <f ca="1">AVERAGE(OFFSET(USD_NGN_Historical_Data__17[[#This Row],[Rate]], -6, 0, 7, 1))</f>
        <v>767.54000000000008</v>
      </c>
      <c r="M189" s="2" t="str">
        <f t="shared" si="17"/>
        <v>Wed</v>
      </c>
    </row>
    <row r="190" spans="1:13" x14ac:dyDescent="0.35">
      <c r="A190" s="4">
        <v>45190</v>
      </c>
      <c r="B190" s="2">
        <v>767.43</v>
      </c>
      <c r="C190" s="2">
        <v>770.77</v>
      </c>
      <c r="D190" s="2">
        <v>776.5</v>
      </c>
      <c r="E190" s="2">
        <v>767.93</v>
      </c>
      <c r="F190" s="1">
        <v>-3.7000000000000002E-3</v>
      </c>
      <c r="G190" s="2">
        <f t="shared" si="12"/>
        <v>2023</v>
      </c>
      <c r="H190" s="2" t="str">
        <f t="shared" si="13"/>
        <v>Sep</v>
      </c>
      <c r="I190" s="2">
        <f t="shared" si="14"/>
        <v>9</v>
      </c>
      <c r="J190" s="2" t="str">
        <f t="shared" si="15"/>
        <v>2023-09</v>
      </c>
      <c r="K190" s="2">
        <f t="shared" si="16"/>
        <v>38</v>
      </c>
      <c r="L190" s="2">
        <f ca="1">AVERAGE(OFFSET(USD_NGN_Historical_Data__17[[#This Row],[Rate]], -6, 0, 7, 1))</f>
        <v>767.12571428571425</v>
      </c>
      <c r="M190" s="2" t="str">
        <f t="shared" si="17"/>
        <v>Thu</v>
      </c>
    </row>
    <row r="191" spans="1:13" x14ac:dyDescent="0.35">
      <c r="A191" s="4">
        <v>45191</v>
      </c>
      <c r="B191" s="2">
        <v>767.43</v>
      </c>
      <c r="C191" s="2">
        <v>767.93</v>
      </c>
      <c r="D191" s="2">
        <v>767.93</v>
      </c>
      <c r="E191" s="2">
        <v>767.93</v>
      </c>
      <c r="F191" s="1">
        <v>0</v>
      </c>
      <c r="G191" s="2">
        <f t="shared" si="12"/>
        <v>2023</v>
      </c>
      <c r="H191" s="2" t="str">
        <f t="shared" si="13"/>
        <v>Sep</v>
      </c>
      <c r="I191" s="2">
        <f t="shared" si="14"/>
        <v>9</v>
      </c>
      <c r="J191" s="2" t="str">
        <f t="shared" si="15"/>
        <v>2023-09</v>
      </c>
      <c r="K191" s="2">
        <f t="shared" si="16"/>
        <v>38</v>
      </c>
      <c r="L191" s="2">
        <f ca="1">AVERAGE(OFFSET(USD_NGN_Historical_Data__17[[#This Row],[Rate]], -6, 0, 7, 1))</f>
        <v>770.16142857142859</v>
      </c>
      <c r="M191" s="2" t="str">
        <f t="shared" si="17"/>
        <v>Fri</v>
      </c>
    </row>
    <row r="192" spans="1:13" x14ac:dyDescent="0.35">
      <c r="A192" s="4">
        <v>45194</v>
      </c>
      <c r="B192" s="2">
        <v>779.05</v>
      </c>
      <c r="C192" s="2">
        <v>784.5</v>
      </c>
      <c r="D192" s="2">
        <v>784.5</v>
      </c>
      <c r="E192" s="2">
        <v>756.96</v>
      </c>
      <c r="F192" s="1">
        <v>1.5100000000000001E-2</v>
      </c>
      <c r="G192" s="2">
        <f t="shared" si="12"/>
        <v>2023</v>
      </c>
      <c r="H192" s="2" t="str">
        <f t="shared" si="13"/>
        <v>Sep</v>
      </c>
      <c r="I192" s="2">
        <f t="shared" si="14"/>
        <v>9</v>
      </c>
      <c r="J192" s="2" t="str">
        <f t="shared" si="15"/>
        <v>2023-09</v>
      </c>
      <c r="K192" s="2">
        <f t="shared" si="16"/>
        <v>39</v>
      </c>
      <c r="L192" s="2">
        <f ca="1">AVERAGE(OFFSET(USD_NGN_Historical_Data__17[[#This Row],[Rate]], -6, 0, 7, 1))</f>
        <v>769.5971428571429</v>
      </c>
      <c r="M192" s="2" t="str">
        <f t="shared" si="17"/>
        <v>Mon</v>
      </c>
    </row>
    <row r="193" spans="1:13" x14ac:dyDescent="0.35">
      <c r="A193" s="4">
        <v>45195</v>
      </c>
      <c r="B193" s="2">
        <v>779.05</v>
      </c>
      <c r="C193" s="2">
        <v>779.55</v>
      </c>
      <c r="D193" s="2">
        <v>781.52499999999998</v>
      </c>
      <c r="E193" s="2">
        <v>779.52499999999998</v>
      </c>
      <c r="F193" s="1">
        <v>0</v>
      </c>
      <c r="G193" s="2">
        <f t="shared" si="12"/>
        <v>2023</v>
      </c>
      <c r="H193" s="2" t="str">
        <f t="shared" si="13"/>
        <v>Sep</v>
      </c>
      <c r="I193" s="2">
        <f t="shared" si="14"/>
        <v>9</v>
      </c>
      <c r="J193" s="2" t="str">
        <f t="shared" si="15"/>
        <v>2023-09</v>
      </c>
      <c r="K193" s="2">
        <f t="shared" si="16"/>
        <v>39</v>
      </c>
      <c r="L193" s="2">
        <f ca="1">AVERAGE(OFFSET(USD_NGN_Historical_Data__17[[#This Row],[Rate]], -6, 0, 7, 1))</f>
        <v>771.21285714285716</v>
      </c>
      <c r="M193" s="2" t="str">
        <f t="shared" si="17"/>
        <v>Tue</v>
      </c>
    </row>
    <row r="194" spans="1:13" x14ac:dyDescent="0.35">
      <c r="A194" s="4">
        <v>45196</v>
      </c>
      <c r="B194" s="2">
        <v>777.6</v>
      </c>
      <c r="C194" s="2">
        <v>779.55</v>
      </c>
      <c r="D194" s="2">
        <v>781.52499999999998</v>
      </c>
      <c r="E194" s="2">
        <v>777.8</v>
      </c>
      <c r="F194" s="1">
        <v>-1.9E-3</v>
      </c>
      <c r="G194" s="2">
        <f t="shared" ref="G194:G257" si="18">YEAR(A194)</f>
        <v>2023</v>
      </c>
      <c r="H194" s="2" t="str">
        <f t="shared" ref="H194:H257" si="19">TEXT(A194,"mmm")</f>
        <v>Sep</v>
      </c>
      <c r="I194" s="2">
        <f t="shared" ref="I194:I257" si="20">MONTH(A194)</f>
        <v>9</v>
      </c>
      <c r="J194" s="2" t="str">
        <f t="shared" ref="J194:J257" si="21">TEXT(A194,"yyyy-mm")</f>
        <v>2023-09</v>
      </c>
      <c r="K194" s="2">
        <f t="shared" ref="K194:K257" si="22">WEEKNUM(A194)</f>
        <v>39</v>
      </c>
      <c r="L194" s="2">
        <f ca="1">AVERAGE(OFFSET(USD_NGN_Historical_Data__17[[#This Row],[Rate]], -6, 0, 7, 1))</f>
        <v>773.73714285714289</v>
      </c>
      <c r="M194" s="2" t="str">
        <f t="shared" ref="M194:M257" si="23">TEXT(A194, "ddd")</f>
        <v>Wed</v>
      </c>
    </row>
    <row r="195" spans="1:13" x14ac:dyDescent="0.35">
      <c r="A195" s="4">
        <v>45197</v>
      </c>
      <c r="B195" s="2">
        <v>777.6</v>
      </c>
      <c r="C195" s="2">
        <v>778.1</v>
      </c>
      <c r="D195" s="2">
        <v>798.5</v>
      </c>
      <c r="E195" s="2">
        <v>778.1</v>
      </c>
      <c r="F195" s="1">
        <v>0</v>
      </c>
      <c r="G195" s="2">
        <f t="shared" si="18"/>
        <v>2023</v>
      </c>
      <c r="H195" s="2" t="str">
        <f t="shared" si="19"/>
        <v>Sep</v>
      </c>
      <c r="I195" s="2">
        <f t="shared" si="20"/>
        <v>9</v>
      </c>
      <c r="J195" s="2" t="str">
        <f t="shared" si="21"/>
        <v>2023-09</v>
      </c>
      <c r="K195" s="2">
        <f t="shared" si="22"/>
        <v>39</v>
      </c>
      <c r="L195" s="2">
        <f ca="1">AVERAGE(OFFSET(USD_NGN_Historical_Data__17[[#This Row],[Rate]], -6, 0, 7, 1))</f>
        <v>774.06142857142856</v>
      </c>
      <c r="M195" s="2" t="str">
        <f t="shared" si="23"/>
        <v>Thu</v>
      </c>
    </row>
    <row r="196" spans="1:13" x14ac:dyDescent="0.35">
      <c r="A196" s="4">
        <v>45198</v>
      </c>
      <c r="B196" s="2">
        <v>768</v>
      </c>
      <c r="C196" s="2">
        <v>778.1</v>
      </c>
      <c r="D196" s="2">
        <v>781.5</v>
      </c>
      <c r="E196" s="2">
        <v>768.8</v>
      </c>
      <c r="F196" s="1">
        <v>-1.23E-2</v>
      </c>
      <c r="G196" s="2">
        <f t="shared" si="18"/>
        <v>2023</v>
      </c>
      <c r="H196" s="2" t="str">
        <f t="shared" si="19"/>
        <v>Sep</v>
      </c>
      <c r="I196" s="2">
        <f t="shared" si="20"/>
        <v>9</v>
      </c>
      <c r="J196" s="2" t="str">
        <f t="shared" si="21"/>
        <v>2023-09</v>
      </c>
      <c r="K196" s="2">
        <f t="shared" si="22"/>
        <v>39</v>
      </c>
      <c r="L196" s="2">
        <f ca="1">AVERAGE(OFFSET(USD_NGN_Historical_Data__17[[#This Row],[Rate]], -6, 0, 7, 1))</f>
        <v>773.73714285714289</v>
      </c>
      <c r="M196" s="2" t="str">
        <f t="shared" si="23"/>
        <v>Fri</v>
      </c>
    </row>
    <row r="197" spans="1:13" x14ac:dyDescent="0.35">
      <c r="A197" s="4">
        <v>45201</v>
      </c>
      <c r="B197" s="2">
        <v>766.47</v>
      </c>
      <c r="C197" s="2">
        <v>769.55</v>
      </c>
      <c r="D197" s="2">
        <v>771.02499999999998</v>
      </c>
      <c r="E197" s="2">
        <v>766.97</v>
      </c>
      <c r="F197" s="1">
        <v>-2E-3</v>
      </c>
      <c r="G197" s="2">
        <f t="shared" si="18"/>
        <v>2023</v>
      </c>
      <c r="H197" s="2" t="str">
        <f t="shared" si="19"/>
        <v>Oct</v>
      </c>
      <c r="I197" s="2">
        <f t="shared" si="20"/>
        <v>10</v>
      </c>
      <c r="J197" s="2" t="str">
        <f t="shared" si="21"/>
        <v>2023-10</v>
      </c>
      <c r="K197" s="2">
        <f t="shared" si="22"/>
        <v>40</v>
      </c>
      <c r="L197" s="2">
        <f ca="1">AVERAGE(OFFSET(USD_NGN_Historical_Data__17[[#This Row],[Rate]], -6, 0, 7, 1))</f>
        <v>773.6</v>
      </c>
      <c r="M197" s="2" t="str">
        <f t="shared" si="23"/>
        <v>Mon</v>
      </c>
    </row>
    <row r="198" spans="1:13" x14ac:dyDescent="0.35">
      <c r="A198" s="4">
        <v>45202</v>
      </c>
      <c r="B198" s="2">
        <v>766.45</v>
      </c>
      <c r="C198" s="2">
        <v>766.97</v>
      </c>
      <c r="D198" s="2">
        <v>798.5</v>
      </c>
      <c r="E198" s="2">
        <v>766.95</v>
      </c>
      <c r="F198" s="1">
        <v>0</v>
      </c>
      <c r="G198" s="2">
        <f t="shared" si="18"/>
        <v>2023</v>
      </c>
      <c r="H198" s="2" t="str">
        <f t="shared" si="19"/>
        <v>Oct</v>
      </c>
      <c r="I198" s="2">
        <f t="shared" si="20"/>
        <v>10</v>
      </c>
      <c r="J198" s="2" t="str">
        <f t="shared" si="21"/>
        <v>2023-10</v>
      </c>
      <c r="K198" s="2">
        <f t="shared" si="22"/>
        <v>40</v>
      </c>
      <c r="L198" s="2">
        <f ca="1">AVERAGE(OFFSET(USD_NGN_Historical_Data__17[[#This Row],[Rate]], -6, 0, 7, 1))</f>
        <v>773.45999999999992</v>
      </c>
      <c r="M198" s="2" t="str">
        <f t="shared" si="23"/>
        <v>Tue</v>
      </c>
    </row>
    <row r="199" spans="1:13" x14ac:dyDescent="0.35">
      <c r="A199" s="4">
        <v>45203</v>
      </c>
      <c r="B199" s="2">
        <v>746.61</v>
      </c>
      <c r="C199" s="2">
        <v>766.95</v>
      </c>
      <c r="D199" s="2">
        <v>770.5</v>
      </c>
      <c r="E199" s="2">
        <v>747.1</v>
      </c>
      <c r="F199" s="1">
        <v>-2.5899999999999999E-2</v>
      </c>
      <c r="G199" s="2">
        <f t="shared" si="18"/>
        <v>2023</v>
      </c>
      <c r="H199" s="2" t="str">
        <f t="shared" si="19"/>
        <v>Oct</v>
      </c>
      <c r="I199" s="2">
        <f t="shared" si="20"/>
        <v>10</v>
      </c>
      <c r="J199" s="2" t="str">
        <f t="shared" si="21"/>
        <v>2023-10</v>
      </c>
      <c r="K199" s="2">
        <f t="shared" si="22"/>
        <v>40</v>
      </c>
      <c r="L199" s="2">
        <f ca="1">AVERAGE(OFFSET(USD_NGN_Historical_Data__17[[#This Row],[Rate]], -6, 0, 7, 1))</f>
        <v>768.8257142857143</v>
      </c>
      <c r="M199" s="2" t="str">
        <f t="shared" si="23"/>
        <v>Wed</v>
      </c>
    </row>
    <row r="200" spans="1:13" x14ac:dyDescent="0.35">
      <c r="A200" s="4">
        <v>45204</v>
      </c>
      <c r="B200" s="2">
        <v>761.54</v>
      </c>
      <c r="C200" s="2">
        <v>747.11</v>
      </c>
      <c r="D200" s="2">
        <v>770.5</v>
      </c>
      <c r="E200" s="2">
        <v>747.11</v>
      </c>
      <c r="F200" s="1">
        <v>0.02</v>
      </c>
      <c r="G200" s="2">
        <f t="shared" si="18"/>
        <v>2023</v>
      </c>
      <c r="H200" s="2" t="str">
        <f t="shared" si="19"/>
        <v>Oct</v>
      </c>
      <c r="I200" s="2">
        <f t="shared" si="20"/>
        <v>10</v>
      </c>
      <c r="J200" s="2" t="str">
        <f t="shared" si="21"/>
        <v>2023-10</v>
      </c>
      <c r="K200" s="2">
        <f t="shared" si="22"/>
        <v>40</v>
      </c>
      <c r="L200" s="2">
        <f ca="1">AVERAGE(OFFSET(USD_NGN_Historical_Data__17[[#This Row],[Rate]], -6, 0, 7, 1))</f>
        <v>766.32428571428568</v>
      </c>
      <c r="M200" s="2" t="str">
        <f t="shared" si="23"/>
        <v>Thu</v>
      </c>
    </row>
    <row r="201" spans="1:13" x14ac:dyDescent="0.35">
      <c r="A201" s="4">
        <v>45205</v>
      </c>
      <c r="B201" s="2">
        <v>771.54</v>
      </c>
      <c r="C201" s="2">
        <v>762.04</v>
      </c>
      <c r="D201" s="2">
        <v>772.04</v>
      </c>
      <c r="E201" s="2">
        <v>762.04</v>
      </c>
      <c r="F201" s="1">
        <v>1.3100000000000001E-2</v>
      </c>
      <c r="G201" s="2">
        <f t="shared" si="18"/>
        <v>2023</v>
      </c>
      <c r="H201" s="2" t="str">
        <f t="shared" si="19"/>
        <v>Oct</v>
      </c>
      <c r="I201" s="2">
        <f t="shared" si="20"/>
        <v>10</v>
      </c>
      <c r="J201" s="2" t="str">
        <f t="shared" si="21"/>
        <v>2023-10</v>
      </c>
      <c r="K201" s="2">
        <f t="shared" si="22"/>
        <v>40</v>
      </c>
      <c r="L201" s="2">
        <f ca="1">AVERAGE(OFFSET(USD_NGN_Historical_Data__17[[#This Row],[Rate]], -6, 0, 7, 1))</f>
        <v>765.45857142857142</v>
      </c>
      <c r="M201" s="2" t="str">
        <f t="shared" si="23"/>
        <v>Fri</v>
      </c>
    </row>
    <row r="202" spans="1:13" x14ac:dyDescent="0.35">
      <c r="A202" s="4">
        <v>45208</v>
      </c>
      <c r="B202" s="2">
        <v>758.71</v>
      </c>
      <c r="C202" s="2">
        <v>772.04</v>
      </c>
      <c r="D202" s="2">
        <v>772.04</v>
      </c>
      <c r="E202" s="2">
        <v>759.21</v>
      </c>
      <c r="F202" s="1">
        <v>-1.66E-2</v>
      </c>
      <c r="G202" s="2">
        <f t="shared" si="18"/>
        <v>2023</v>
      </c>
      <c r="H202" s="2" t="str">
        <f t="shared" si="19"/>
        <v>Oct</v>
      </c>
      <c r="I202" s="2">
        <f t="shared" si="20"/>
        <v>10</v>
      </c>
      <c r="J202" s="2" t="str">
        <f t="shared" si="21"/>
        <v>2023-10</v>
      </c>
      <c r="K202" s="2">
        <f t="shared" si="22"/>
        <v>41</v>
      </c>
      <c r="L202" s="2">
        <f ca="1">AVERAGE(OFFSET(USD_NGN_Historical_Data__17[[#This Row],[Rate]], -6, 0, 7, 1))</f>
        <v>762.7600000000001</v>
      </c>
      <c r="M202" s="2" t="str">
        <f t="shared" si="23"/>
        <v>Mon</v>
      </c>
    </row>
    <row r="203" spans="1:13" x14ac:dyDescent="0.35">
      <c r="A203" s="4">
        <v>45209</v>
      </c>
      <c r="B203" s="2">
        <v>763.03</v>
      </c>
      <c r="C203" s="2">
        <v>759.21</v>
      </c>
      <c r="D203" s="2">
        <v>776.5</v>
      </c>
      <c r="E203" s="2">
        <v>759.21</v>
      </c>
      <c r="F203" s="1">
        <v>5.7000000000000002E-3</v>
      </c>
      <c r="G203" s="2">
        <f t="shared" si="18"/>
        <v>2023</v>
      </c>
      <c r="H203" s="2" t="str">
        <f t="shared" si="19"/>
        <v>Oct</v>
      </c>
      <c r="I203" s="2">
        <f t="shared" si="20"/>
        <v>10</v>
      </c>
      <c r="J203" s="2" t="str">
        <f t="shared" si="21"/>
        <v>2023-10</v>
      </c>
      <c r="K203" s="2">
        <f t="shared" si="22"/>
        <v>41</v>
      </c>
      <c r="L203" s="2">
        <f ca="1">AVERAGE(OFFSET(USD_NGN_Historical_Data__17[[#This Row],[Rate]], -6, 0, 7, 1))</f>
        <v>762.05</v>
      </c>
      <c r="M203" s="2" t="str">
        <f t="shared" si="23"/>
        <v>Tue</v>
      </c>
    </row>
    <row r="204" spans="1:13" x14ac:dyDescent="0.35">
      <c r="A204" s="4">
        <v>45210</v>
      </c>
      <c r="B204" s="2">
        <v>759.49</v>
      </c>
      <c r="C204" s="2">
        <v>763.53</v>
      </c>
      <c r="D204" s="2">
        <v>775.5</v>
      </c>
      <c r="E204" s="2">
        <v>759.99</v>
      </c>
      <c r="F204" s="1">
        <v>-4.5999999999999999E-3</v>
      </c>
      <c r="G204" s="2">
        <f t="shared" si="18"/>
        <v>2023</v>
      </c>
      <c r="H204" s="2" t="str">
        <f t="shared" si="19"/>
        <v>Oct</v>
      </c>
      <c r="I204" s="2">
        <f t="shared" si="20"/>
        <v>10</v>
      </c>
      <c r="J204" s="2" t="str">
        <f t="shared" si="21"/>
        <v>2023-10</v>
      </c>
      <c r="K204" s="2">
        <f t="shared" si="22"/>
        <v>41</v>
      </c>
      <c r="L204" s="2">
        <f ca="1">AVERAGE(OFFSET(USD_NGN_Historical_Data__17[[#This Row],[Rate]], -6, 0, 7, 1))</f>
        <v>761.05285714285708</v>
      </c>
      <c r="M204" s="2" t="str">
        <f t="shared" si="23"/>
        <v>Wed</v>
      </c>
    </row>
    <row r="205" spans="1:13" x14ac:dyDescent="0.35">
      <c r="A205" s="4">
        <v>45211</v>
      </c>
      <c r="B205" s="2">
        <v>768</v>
      </c>
      <c r="C205" s="2">
        <v>759.99</v>
      </c>
      <c r="D205" s="2">
        <v>769.05</v>
      </c>
      <c r="E205" s="2">
        <v>759.99</v>
      </c>
      <c r="F205" s="1">
        <v>1.12E-2</v>
      </c>
      <c r="G205" s="2">
        <f t="shared" si="18"/>
        <v>2023</v>
      </c>
      <c r="H205" s="2" t="str">
        <f t="shared" si="19"/>
        <v>Oct</v>
      </c>
      <c r="I205" s="2">
        <f t="shared" si="20"/>
        <v>10</v>
      </c>
      <c r="J205" s="2" t="str">
        <f t="shared" si="21"/>
        <v>2023-10</v>
      </c>
      <c r="K205" s="2">
        <f t="shared" si="22"/>
        <v>41</v>
      </c>
      <c r="L205" s="2">
        <f ca="1">AVERAGE(OFFSET(USD_NGN_Historical_Data__17[[#This Row],[Rate]], -6, 0, 7, 1))</f>
        <v>761.27428571428572</v>
      </c>
      <c r="M205" s="2" t="str">
        <f t="shared" si="23"/>
        <v>Thu</v>
      </c>
    </row>
    <row r="206" spans="1:13" x14ac:dyDescent="0.35">
      <c r="A206" s="4">
        <v>45212</v>
      </c>
      <c r="B206" s="2">
        <v>769.51</v>
      </c>
      <c r="C206" s="2">
        <v>768.6</v>
      </c>
      <c r="D206" s="2">
        <v>775.5</v>
      </c>
      <c r="E206" s="2">
        <v>768.6</v>
      </c>
      <c r="F206" s="1">
        <v>2E-3</v>
      </c>
      <c r="G206" s="2">
        <f t="shared" si="18"/>
        <v>2023</v>
      </c>
      <c r="H206" s="2" t="str">
        <f t="shared" si="19"/>
        <v>Oct</v>
      </c>
      <c r="I206" s="2">
        <f t="shared" si="20"/>
        <v>10</v>
      </c>
      <c r="J206" s="2" t="str">
        <f t="shared" si="21"/>
        <v>2023-10</v>
      </c>
      <c r="K206" s="2">
        <f t="shared" si="22"/>
        <v>41</v>
      </c>
      <c r="L206" s="2">
        <f ca="1">AVERAGE(OFFSET(USD_NGN_Historical_Data__17[[#This Row],[Rate]], -6, 0, 7, 1))</f>
        <v>764.54571428571421</v>
      </c>
      <c r="M206" s="2" t="str">
        <f t="shared" si="23"/>
        <v>Fri</v>
      </c>
    </row>
    <row r="207" spans="1:13" x14ac:dyDescent="0.35">
      <c r="A207" s="4">
        <v>45215</v>
      </c>
      <c r="B207" s="2">
        <v>764.93</v>
      </c>
      <c r="C207" s="2">
        <v>770.01</v>
      </c>
      <c r="D207" s="2">
        <v>775.5</v>
      </c>
      <c r="E207" s="2">
        <v>765.43</v>
      </c>
      <c r="F207" s="1">
        <v>-6.0000000000000001E-3</v>
      </c>
      <c r="G207" s="2">
        <f t="shared" si="18"/>
        <v>2023</v>
      </c>
      <c r="H207" s="2" t="str">
        <f t="shared" si="19"/>
        <v>Oct</v>
      </c>
      <c r="I207" s="2">
        <f t="shared" si="20"/>
        <v>10</v>
      </c>
      <c r="J207" s="2" t="str">
        <f t="shared" si="21"/>
        <v>2023-10</v>
      </c>
      <c r="K207" s="2">
        <f t="shared" si="22"/>
        <v>42</v>
      </c>
      <c r="L207" s="2">
        <f ca="1">AVERAGE(OFFSET(USD_NGN_Historical_Data__17[[#This Row],[Rate]], -6, 0, 7, 1))</f>
        <v>765.03</v>
      </c>
      <c r="M207" s="2" t="str">
        <f t="shared" si="23"/>
        <v>Mon</v>
      </c>
    </row>
    <row r="208" spans="1:13" x14ac:dyDescent="0.35">
      <c r="A208" s="4">
        <v>45216</v>
      </c>
      <c r="B208" s="2">
        <v>764.24</v>
      </c>
      <c r="C208" s="2">
        <v>765.43</v>
      </c>
      <c r="D208" s="2">
        <v>767.46500000000003</v>
      </c>
      <c r="E208" s="2">
        <v>764.62</v>
      </c>
      <c r="F208" s="1">
        <v>-8.9999999999999998E-4</v>
      </c>
      <c r="G208" s="2">
        <f t="shared" si="18"/>
        <v>2023</v>
      </c>
      <c r="H208" s="2" t="str">
        <f t="shared" si="19"/>
        <v>Oct</v>
      </c>
      <c r="I208" s="2">
        <f t="shared" si="20"/>
        <v>10</v>
      </c>
      <c r="J208" s="2" t="str">
        <f t="shared" si="21"/>
        <v>2023-10</v>
      </c>
      <c r="K208" s="2">
        <f t="shared" si="22"/>
        <v>42</v>
      </c>
      <c r="L208" s="2">
        <f ca="1">AVERAGE(OFFSET(USD_NGN_Historical_Data__17[[#This Row],[Rate]], -6, 0, 7, 1))</f>
        <v>763.98714285714289</v>
      </c>
      <c r="M208" s="2" t="str">
        <f t="shared" si="23"/>
        <v>Tue</v>
      </c>
    </row>
    <row r="209" spans="1:13" x14ac:dyDescent="0.35">
      <c r="A209" s="4">
        <v>45217</v>
      </c>
      <c r="B209" s="2">
        <v>774.44</v>
      </c>
      <c r="C209" s="2">
        <v>764.74</v>
      </c>
      <c r="D209" s="2">
        <v>774.94</v>
      </c>
      <c r="E209" s="2">
        <v>764.62</v>
      </c>
      <c r="F209" s="1">
        <v>1.3299999999999999E-2</v>
      </c>
      <c r="G209" s="2">
        <f t="shared" si="18"/>
        <v>2023</v>
      </c>
      <c r="H209" s="2" t="str">
        <f t="shared" si="19"/>
        <v>Oct</v>
      </c>
      <c r="I209" s="2">
        <f t="shared" si="20"/>
        <v>10</v>
      </c>
      <c r="J209" s="2" t="str">
        <f t="shared" si="21"/>
        <v>2023-10</v>
      </c>
      <c r="K209" s="2">
        <f t="shared" si="22"/>
        <v>42</v>
      </c>
      <c r="L209" s="2">
        <f ca="1">AVERAGE(OFFSET(USD_NGN_Historical_Data__17[[#This Row],[Rate]], -6, 0, 7, 1))</f>
        <v>766.23428571428565</v>
      </c>
      <c r="M209" s="2" t="str">
        <f t="shared" si="23"/>
        <v>Wed</v>
      </c>
    </row>
    <row r="210" spans="1:13" x14ac:dyDescent="0.35">
      <c r="A210" s="4">
        <v>45218</v>
      </c>
      <c r="B210" s="2">
        <v>764</v>
      </c>
      <c r="C210" s="2">
        <v>774.94</v>
      </c>
      <c r="D210" s="2">
        <v>774.94</v>
      </c>
      <c r="E210" s="2">
        <v>766</v>
      </c>
      <c r="F210" s="1">
        <v>-1.35E-2</v>
      </c>
      <c r="G210" s="2">
        <f t="shared" si="18"/>
        <v>2023</v>
      </c>
      <c r="H210" s="2" t="str">
        <f t="shared" si="19"/>
        <v>Oct</v>
      </c>
      <c r="I210" s="2">
        <f t="shared" si="20"/>
        <v>10</v>
      </c>
      <c r="J210" s="2" t="str">
        <f t="shared" si="21"/>
        <v>2023-10</v>
      </c>
      <c r="K210" s="2">
        <f t="shared" si="22"/>
        <v>42</v>
      </c>
      <c r="L210" s="2">
        <f ca="1">AVERAGE(OFFSET(USD_NGN_Historical_Data__17[[#This Row],[Rate]], -6, 0, 7, 1))</f>
        <v>766.37285714285724</v>
      </c>
      <c r="M210" s="2" t="str">
        <f t="shared" si="23"/>
        <v>Thu</v>
      </c>
    </row>
    <row r="211" spans="1:13" x14ac:dyDescent="0.35">
      <c r="A211" s="4">
        <v>45219</v>
      </c>
      <c r="B211" s="2">
        <v>859.23</v>
      </c>
      <c r="C211" s="2">
        <v>859.73</v>
      </c>
      <c r="D211" s="2">
        <v>861.11500000000001</v>
      </c>
      <c r="E211" s="2">
        <v>859.11500000000001</v>
      </c>
      <c r="F211" s="1">
        <v>0.1246</v>
      </c>
      <c r="G211" s="2">
        <f t="shared" si="18"/>
        <v>2023</v>
      </c>
      <c r="H211" s="2" t="str">
        <f t="shared" si="19"/>
        <v>Oct</v>
      </c>
      <c r="I211" s="2">
        <f t="shared" si="20"/>
        <v>10</v>
      </c>
      <c r="J211" s="2" t="str">
        <f t="shared" si="21"/>
        <v>2023-10</v>
      </c>
      <c r="K211" s="2">
        <f t="shared" si="22"/>
        <v>42</v>
      </c>
      <c r="L211" s="2">
        <f ca="1">AVERAGE(OFFSET(USD_NGN_Historical_Data__17[[#This Row],[Rate]], -6, 0, 7, 1))</f>
        <v>780.62142857142862</v>
      </c>
      <c r="M211" s="2" t="str">
        <f t="shared" si="23"/>
        <v>Fri</v>
      </c>
    </row>
    <row r="212" spans="1:13" x14ac:dyDescent="0.35">
      <c r="A212" s="4">
        <v>45222</v>
      </c>
      <c r="B212" s="2">
        <v>883</v>
      </c>
      <c r="C212" s="2">
        <v>859.73</v>
      </c>
      <c r="D212" s="2">
        <v>884.5</v>
      </c>
      <c r="E212" s="2">
        <v>859.11500000000001</v>
      </c>
      <c r="F212" s="1">
        <v>2.7699999999999999E-2</v>
      </c>
      <c r="G212" s="2">
        <f t="shared" si="18"/>
        <v>2023</v>
      </c>
      <c r="H212" s="2" t="str">
        <f t="shared" si="19"/>
        <v>Oct</v>
      </c>
      <c r="I212" s="2">
        <f t="shared" si="20"/>
        <v>10</v>
      </c>
      <c r="J212" s="2" t="str">
        <f t="shared" si="21"/>
        <v>2023-10</v>
      </c>
      <c r="K212" s="2">
        <f t="shared" si="22"/>
        <v>43</v>
      </c>
      <c r="L212" s="2">
        <f ca="1">AVERAGE(OFFSET(USD_NGN_Historical_Data__17[[#This Row],[Rate]], -6, 0, 7, 1))</f>
        <v>797.05000000000007</v>
      </c>
      <c r="M212" s="2" t="str">
        <f t="shared" si="23"/>
        <v>Mon</v>
      </c>
    </row>
    <row r="213" spans="1:13" x14ac:dyDescent="0.35">
      <c r="A213" s="4">
        <v>45223</v>
      </c>
      <c r="B213" s="2">
        <v>794.93</v>
      </c>
      <c r="C213" s="2">
        <v>883.5</v>
      </c>
      <c r="D213" s="2">
        <v>883.5</v>
      </c>
      <c r="E213" s="2">
        <v>795.43</v>
      </c>
      <c r="F213" s="1">
        <v>-9.9699999999999997E-2</v>
      </c>
      <c r="G213" s="2">
        <f t="shared" si="18"/>
        <v>2023</v>
      </c>
      <c r="H213" s="2" t="str">
        <f t="shared" si="19"/>
        <v>Oct</v>
      </c>
      <c r="I213" s="2">
        <f t="shared" si="20"/>
        <v>10</v>
      </c>
      <c r="J213" s="2" t="str">
        <f t="shared" si="21"/>
        <v>2023-10</v>
      </c>
      <c r="K213" s="2">
        <f t="shared" si="22"/>
        <v>43</v>
      </c>
      <c r="L213" s="2">
        <f ca="1">AVERAGE(OFFSET(USD_NGN_Historical_Data__17[[#This Row],[Rate]], -6, 0, 7, 1))</f>
        <v>800.68142857142868</v>
      </c>
      <c r="M213" s="2" t="str">
        <f t="shared" si="23"/>
        <v>Tue</v>
      </c>
    </row>
    <row r="214" spans="1:13" x14ac:dyDescent="0.35">
      <c r="A214" s="4">
        <v>45224</v>
      </c>
      <c r="B214" s="2">
        <v>794.93</v>
      </c>
      <c r="C214" s="2">
        <v>795.43</v>
      </c>
      <c r="D214" s="2">
        <v>795.46500000000003</v>
      </c>
      <c r="E214" s="2">
        <v>789.5</v>
      </c>
      <c r="F214" s="1">
        <v>0</v>
      </c>
      <c r="G214" s="2">
        <f t="shared" si="18"/>
        <v>2023</v>
      </c>
      <c r="H214" s="2" t="str">
        <f t="shared" si="19"/>
        <v>Oct</v>
      </c>
      <c r="I214" s="2">
        <f t="shared" si="20"/>
        <v>10</v>
      </c>
      <c r="J214" s="2" t="str">
        <f t="shared" si="21"/>
        <v>2023-10</v>
      </c>
      <c r="K214" s="2">
        <f t="shared" si="22"/>
        <v>43</v>
      </c>
      <c r="L214" s="2">
        <f ca="1">AVERAGE(OFFSET(USD_NGN_Historical_Data__17[[#This Row],[Rate]], -6, 0, 7, 1))</f>
        <v>804.9671428571429</v>
      </c>
      <c r="M214" s="2" t="str">
        <f t="shared" si="23"/>
        <v>Wed</v>
      </c>
    </row>
    <row r="215" spans="1:13" x14ac:dyDescent="0.35">
      <c r="A215" s="4">
        <v>45225</v>
      </c>
      <c r="B215" s="2">
        <v>802.2</v>
      </c>
      <c r="C215" s="2">
        <v>795.43</v>
      </c>
      <c r="D215" s="2">
        <v>802.7</v>
      </c>
      <c r="E215" s="2">
        <v>788.5</v>
      </c>
      <c r="F215" s="1">
        <v>9.1000000000000004E-3</v>
      </c>
      <c r="G215" s="2">
        <f t="shared" si="18"/>
        <v>2023</v>
      </c>
      <c r="H215" s="2" t="str">
        <f t="shared" si="19"/>
        <v>Oct</v>
      </c>
      <c r="I215" s="2">
        <f t="shared" si="20"/>
        <v>10</v>
      </c>
      <c r="J215" s="2" t="str">
        <f t="shared" si="21"/>
        <v>2023-10</v>
      </c>
      <c r="K215" s="2">
        <f t="shared" si="22"/>
        <v>43</v>
      </c>
      <c r="L215" s="2">
        <f ca="1">AVERAGE(OFFSET(USD_NGN_Historical_Data__17[[#This Row],[Rate]], -6, 0, 7, 1))</f>
        <v>810.39</v>
      </c>
      <c r="M215" s="2" t="str">
        <f t="shared" si="23"/>
        <v>Thu</v>
      </c>
    </row>
    <row r="216" spans="1:13" x14ac:dyDescent="0.35">
      <c r="A216" s="4">
        <v>45226</v>
      </c>
      <c r="B216" s="2">
        <v>790</v>
      </c>
      <c r="C216" s="2">
        <v>802.7</v>
      </c>
      <c r="D216" s="2">
        <v>802.7</v>
      </c>
      <c r="E216" s="2">
        <v>789.5</v>
      </c>
      <c r="F216" s="1">
        <v>-1.52E-2</v>
      </c>
      <c r="G216" s="2">
        <f t="shared" si="18"/>
        <v>2023</v>
      </c>
      <c r="H216" s="2" t="str">
        <f t="shared" si="19"/>
        <v>Oct</v>
      </c>
      <c r="I216" s="2">
        <f t="shared" si="20"/>
        <v>10</v>
      </c>
      <c r="J216" s="2" t="str">
        <f t="shared" si="21"/>
        <v>2023-10</v>
      </c>
      <c r="K216" s="2">
        <f t="shared" si="22"/>
        <v>43</v>
      </c>
      <c r="L216" s="2">
        <f ca="1">AVERAGE(OFFSET(USD_NGN_Historical_Data__17[[#This Row],[Rate]], -6, 0, 7, 1))</f>
        <v>812.61285714285714</v>
      </c>
      <c r="M216" s="2" t="str">
        <f t="shared" si="23"/>
        <v>Fri</v>
      </c>
    </row>
    <row r="217" spans="1:13" x14ac:dyDescent="0.35">
      <c r="A217" s="4">
        <v>45229</v>
      </c>
      <c r="B217" s="2">
        <v>785.98</v>
      </c>
      <c r="C217" s="2">
        <v>790.5</v>
      </c>
      <c r="D217" s="2">
        <v>795</v>
      </c>
      <c r="E217" s="2">
        <v>785.99</v>
      </c>
      <c r="F217" s="1">
        <v>-5.1000000000000004E-3</v>
      </c>
      <c r="G217" s="2">
        <f t="shared" si="18"/>
        <v>2023</v>
      </c>
      <c r="H217" s="2" t="str">
        <f t="shared" si="19"/>
        <v>Oct</v>
      </c>
      <c r="I217" s="2">
        <f t="shared" si="20"/>
        <v>10</v>
      </c>
      <c r="J217" s="2" t="str">
        <f t="shared" si="21"/>
        <v>2023-10</v>
      </c>
      <c r="K217" s="2">
        <f t="shared" si="22"/>
        <v>44</v>
      </c>
      <c r="L217" s="2">
        <f ca="1">AVERAGE(OFFSET(USD_NGN_Historical_Data__17[[#This Row],[Rate]], -6, 0, 7, 1))</f>
        <v>815.75285714285724</v>
      </c>
      <c r="M217" s="2" t="str">
        <f t="shared" si="23"/>
        <v>Mon</v>
      </c>
    </row>
    <row r="218" spans="1:13" x14ac:dyDescent="0.35">
      <c r="A218" s="4">
        <v>45230</v>
      </c>
      <c r="B218" s="2">
        <v>785</v>
      </c>
      <c r="C218" s="2">
        <v>786.48</v>
      </c>
      <c r="D218" s="2">
        <v>786.99</v>
      </c>
      <c r="E218" s="2">
        <v>785.99</v>
      </c>
      <c r="F218" s="1">
        <v>-1.1999999999999999E-3</v>
      </c>
      <c r="G218" s="2">
        <f t="shared" si="18"/>
        <v>2023</v>
      </c>
      <c r="H218" s="2" t="str">
        <f t="shared" si="19"/>
        <v>Oct</v>
      </c>
      <c r="I218" s="2">
        <f t="shared" si="20"/>
        <v>10</v>
      </c>
      <c r="J218" s="2" t="str">
        <f t="shared" si="21"/>
        <v>2023-10</v>
      </c>
      <c r="K218" s="2">
        <f t="shared" si="22"/>
        <v>44</v>
      </c>
      <c r="L218" s="2">
        <f ca="1">AVERAGE(OFFSET(USD_NGN_Historical_Data__17[[#This Row],[Rate]], -6, 0, 7, 1))</f>
        <v>805.14857142857124</v>
      </c>
      <c r="M218" s="2" t="str">
        <f t="shared" si="23"/>
        <v>Tue</v>
      </c>
    </row>
    <row r="219" spans="1:13" x14ac:dyDescent="0.35">
      <c r="A219" s="4">
        <v>45231</v>
      </c>
      <c r="B219" s="2">
        <v>787</v>
      </c>
      <c r="C219" s="2">
        <v>787.5</v>
      </c>
      <c r="D219" s="2">
        <v>789.5</v>
      </c>
      <c r="E219" s="2">
        <v>786.5</v>
      </c>
      <c r="F219" s="1">
        <v>2.5000000000000001E-3</v>
      </c>
      <c r="G219" s="2">
        <f t="shared" si="18"/>
        <v>2023</v>
      </c>
      <c r="H219" s="2" t="str">
        <f t="shared" si="19"/>
        <v>Nov</v>
      </c>
      <c r="I219" s="2">
        <f t="shared" si="20"/>
        <v>11</v>
      </c>
      <c r="J219" s="2" t="str">
        <f t="shared" si="21"/>
        <v>2023-11</v>
      </c>
      <c r="K219" s="2">
        <f t="shared" si="22"/>
        <v>44</v>
      </c>
      <c r="L219" s="2">
        <f ca="1">AVERAGE(OFFSET(USD_NGN_Historical_Data__17[[#This Row],[Rate]], -6, 0, 7, 1))</f>
        <v>791.43428571428569</v>
      </c>
      <c r="M219" s="2" t="str">
        <f t="shared" si="23"/>
        <v>Wed</v>
      </c>
    </row>
    <row r="220" spans="1:13" x14ac:dyDescent="0.35">
      <c r="A220" s="4">
        <v>45232</v>
      </c>
      <c r="B220" s="2">
        <v>787</v>
      </c>
      <c r="C220" s="2">
        <v>787.5</v>
      </c>
      <c r="D220" s="2">
        <v>788.5</v>
      </c>
      <c r="E220" s="2">
        <v>787.5</v>
      </c>
      <c r="F220" s="1">
        <v>0</v>
      </c>
      <c r="G220" s="2">
        <f t="shared" si="18"/>
        <v>2023</v>
      </c>
      <c r="H220" s="2" t="str">
        <f t="shared" si="19"/>
        <v>Nov</v>
      </c>
      <c r="I220" s="2">
        <f t="shared" si="20"/>
        <v>11</v>
      </c>
      <c r="J220" s="2" t="str">
        <f t="shared" si="21"/>
        <v>2023-11</v>
      </c>
      <c r="K220" s="2">
        <f t="shared" si="22"/>
        <v>44</v>
      </c>
      <c r="L220" s="2">
        <f ca="1">AVERAGE(OFFSET(USD_NGN_Historical_Data__17[[#This Row],[Rate]], -6, 0, 7, 1))</f>
        <v>790.30142857142869</v>
      </c>
      <c r="M220" s="2" t="str">
        <f t="shared" si="23"/>
        <v>Thu</v>
      </c>
    </row>
    <row r="221" spans="1:13" x14ac:dyDescent="0.35">
      <c r="A221" s="4">
        <v>45233</v>
      </c>
      <c r="B221" s="2">
        <v>806.27</v>
      </c>
      <c r="C221" s="2">
        <v>815.51</v>
      </c>
      <c r="D221" s="2">
        <v>815.51</v>
      </c>
      <c r="E221" s="2">
        <v>806.13499999999999</v>
      </c>
      <c r="F221" s="1">
        <v>2.4500000000000001E-2</v>
      </c>
      <c r="G221" s="2">
        <f t="shared" si="18"/>
        <v>2023</v>
      </c>
      <c r="H221" s="2" t="str">
        <f t="shared" si="19"/>
        <v>Nov</v>
      </c>
      <c r="I221" s="2">
        <f t="shared" si="20"/>
        <v>11</v>
      </c>
      <c r="J221" s="2" t="str">
        <f t="shared" si="21"/>
        <v>2023-11</v>
      </c>
      <c r="K221" s="2">
        <f t="shared" si="22"/>
        <v>44</v>
      </c>
      <c r="L221" s="2">
        <f ca="1">AVERAGE(OFFSET(USD_NGN_Historical_Data__17[[#This Row],[Rate]], -6, 0, 7, 1))</f>
        <v>791.92142857142869</v>
      </c>
      <c r="M221" s="2" t="str">
        <f t="shared" si="23"/>
        <v>Fri</v>
      </c>
    </row>
    <row r="222" spans="1:13" x14ac:dyDescent="0.35">
      <c r="A222" s="4">
        <v>45236</v>
      </c>
      <c r="B222" s="2">
        <v>799.2</v>
      </c>
      <c r="C222" s="2">
        <v>806.77</v>
      </c>
      <c r="D222" s="2">
        <v>807.13499999999999</v>
      </c>
      <c r="E222" s="2">
        <v>789.5</v>
      </c>
      <c r="F222" s="1">
        <v>-8.8000000000000005E-3</v>
      </c>
      <c r="G222" s="2">
        <f t="shared" si="18"/>
        <v>2023</v>
      </c>
      <c r="H222" s="2" t="str">
        <f t="shared" si="19"/>
        <v>Nov</v>
      </c>
      <c r="I222" s="2">
        <f t="shared" si="20"/>
        <v>11</v>
      </c>
      <c r="J222" s="2" t="str">
        <f t="shared" si="21"/>
        <v>2023-11</v>
      </c>
      <c r="K222" s="2">
        <f t="shared" si="22"/>
        <v>45</v>
      </c>
      <c r="L222" s="2">
        <f ca="1">AVERAGE(OFFSET(USD_NGN_Historical_Data__17[[#This Row],[Rate]], -6, 0, 7, 1))</f>
        <v>791.49285714285713</v>
      </c>
      <c r="M222" s="2" t="str">
        <f t="shared" si="23"/>
        <v>Mon</v>
      </c>
    </row>
    <row r="223" spans="1:13" x14ac:dyDescent="0.35">
      <c r="A223" s="4">
        <v>45237</v>
      </c>
      <c r="B223" s="2">
        <v>786.09</v>
      </c>
      <c r="C223" s="2">
        <v>799.7</v>
      </c>
      <c r="D223" s="2">
        <v>806.5</v>
      </c>
      <c r="E223" s="2">
        <v>786.59</v>
      </c>
      <c r="F223" s="1">
        <v>-1.6400000000000001E-2</v>
      </c>
      <c r="G223" s="2">
        <f t="shared" si="18"/>
        <v>2023</v>
      </c>
      <c r="H223" s="2" t="str">
        <f t="shared" si="19"/>
        <v>Nov</v>
      </c>
      <c r="I223" s="2">
        <f t="shared" si="20"/>
        <v>11</v>
      </c>
      <c r="J223" s="2" t="str">
        <f t="shared" si="21"/>
        <v>2023-11</v>
      </c>
      <c r="K223" s="2">
        <f t="shared" si="22"/>
        <v>45</v>
      </c>
      <c r="L223" s="2">
        <f ca="1">AVERAGE(OFFSET(USD_NGN_Historical_Data__17[[#This Row],[Rate]], -6, 0, 7, 1))</f>
        <v>790.93428571428569</v>
      </c>
      <c r="M223" s="2" t="str">
        <f t="shared" si="23"/>
        <v>Tue</v>
      </c>
    </row>
    <row r="224" spans="1:13" x14ac:dyDescent="0.35">
      <c r="A224" s="4">
        <v>45238</v>
      </c>
      <c r="B224" s="2">
        <v>802.8</v>
      </c>
      <c r="C224" s="2">
        <v>786.59</v>
      </c>
      <c r="D224" s="2">
        <v>806.5</v>
      </c>
      <c r="E224" s="2">
        <v>786.59</v>
      </c>
      <c r="F224" s="1">
        <v>2.1299999999999999E-2</v>
      </c>
      <c r="G224" s="2">
        <f t="shared" si="18"/>
        <v>2023</v>
      </c>
      <c r="H224" s="2" t="str">
        <f t="shared" si="19"/>
        <v>Nov</v>
      </c>
      <c r="I224" s="2">
        <f t="shared" si="20"/>
        <v>11</v>
      </c>
      <c r="J224" s="2" t="str">
        <f t="shared" si="21"/>
        <v>2023-11</v>
      </c>
      <c r="K224" s="2">
        <f t="shared" si="22"/>
        <v>45</v>
      </c>
      <c r="L224" s="2">
        <f ca="1">AVERAGE(OFFSET(USD_NGN_Historical_Data__17[[#This Row],[Rate]], -6, 0, 7, 1))</f>
        <v>793.33714285714291</v>
      </c>
      <c r="M224" s="2" t="str">
        <f t="shared" si="23"/>
        <v>Wed</v>
      </c>
    </row>
    <row r="225" spans="1:13" x14ac:dyDescent="0.35">
      <c r="A225" s="4">
        <v>45239</v>
      </c>
      <c r="B225" s="2">
        <v>802</v>
      </c>
      <c r="C225" s="2">
        <v>803.3</v>
      </c>
      <c r="D225" s="2">
        <v>803.4</v>
      </c>
      <c r="E225" s="2">
        <v>802.9</v>
      </c>
      <c r="F225" s="1">
        <v>-1E-3</v>
      </c>
      <c r="G225" s="2">
        <f t="shared" si="18"/>
        <v>2023</v>
      </c>
      <c r="H225" s="2" t="str">
        <f t="shared" si="19"/>
        <v>Nov</v>
      </c>
      <c r="I225" s="2">
        <f t="shared" si="20"/>
        <v>11</v>
      </c>
      <c r="J225" s="2" t="str">
        <f t="shared" si="21"/>
        <v>2023-11</v>
      </c>
      <c r="K225" s="2">
        <f t="shared" si="22"/>
        <v>45</v>
      </c>
      <c r="L225" s="2">
        <f ca="1">AVERAGE(OFFSET(USD_NGN_Historical_Data__17[[#This Row],[Rate]], -6, 0, 7, 1))</f>
        <v>795.76571428571435</v>
      </c>
      <c r="M225" s="2" t="str">
        <f t="shared" si="23"/>
        <v>Thu</v>
      </c>
    </row>
    <row r="226" spans="1:13" x14ac:dyDescent="0.35">
      <c r="A226" s="4">
        <v>45240</v>
      </c>
      <c r="B226" s="2">
        <v>802</v>
      </c>
      <c r="C226" s="2">
        <v>803</v>
      </c>
      <c r="D226" s="2">
        <v>803</v>
      </c>
      <c r="E226" s="2">
        <v>803</v>
      </c>
      <c r="F226" s="1">
        <v>0</v>
      </c>
      <c r="G226" s="2">
        <f t="shared" si="18"/>
        <v>2023</v>
      </c>
      <c r="H226" s="2" t="str">
        <f t="shared" si="19"/>
        <v>Nov</v>
      </c>
      <c r="I226" s="2">
        <f t="shared" si="20"/>
        <v>11</v>
      </c>
      <c r="J226" s="2" t="str">
        <f t="shared" si="21"/>
        <v>2023-11</v>
      </c>
      <c r="K226" s="2">
        <f t="shared" si="22"/>
        <v>45</v>
      </c>
      <c r="L226" s="2">
        <f ca="1">AVERAGE(OFFSET(USD_NGN_Historical_Data__17[[#This Row],[Rate]], -6, 0, 7, 1))</f>
        <v>797.90857142857146</v>
      </c>
      <c r="M226" s="2" t="str">
        <f t="shared" si="23"/>
        <v>Fri</v>
      </c>
    </row>
    <row r="227" spans="1:13" x14ac:dyDescent="0.35">
      <c r="A227" s="4">
        <v>45243</v>
      </c>
      <c r="B227" s="2">
        <v>802</v>
      </c>
      <c r="C227" s="2">
        <v>803</v>
      </c>
      <c r="D227" s="2">
        <v>803</v>
      </c>
      <c r="E227" s="2">
        <v>803</v>
      </c>
      <c r="F227" s="1">
        <v>0</v>
      </c>
      <c r="G227" s="2">
        <f t="shared" si="18"/>
        <v>2023</v>
      </c>
      <c r="H227" s="2" t="str">
        <f t="shared" si="19"/>
        <v>Nov</v>
      </c>
      <c r="I227" s="2">
        <f t="shared" si="20"/>
        <v>11</v>
      </c>
      <c r="J227" s="2" t="str">
        <f t="shared" si="21"/>
        <v>2023-11</v>
      </c>
      <c r="K227" s="2">
        <f t="shared" si="22"/>
        <v>46</v>
      </c>
      <c r="L227" s="2">
        <f ca="1">AVERAGE(OFFSET(USD_NGN_Historical_Data__17[[#This Row],[Rate]], -6, 0, 7, 1))</f>
        <v>800.05142857142857</v>
      </c>
      <c r="M227" s="2" t="str">
        <f t="shared" si="23"/>
        <v>Mon</v>
      </c>
    </row>
    <row r="228" spans="1:13" x14ac:dyDescent="0.35">
      <c r="A228" s="4">
        <v>45244</v>
      </c>
      <c r="B228" s="2">
        <v>844.94</v>
      </c>
      <c r="C228" s="2">
        <v>844.94</v>
      </c>
      <c r="D228" s="2">
        <v>845.44</v>
      </c>
      <c r="E228" s="2">
        <v>845.44</v>
      </c>
      <c r="F228" s="1">
        <v>5.3499999999999999E-2</v>
      </c>
      <c r="G228" s="2">
        <f t="shared" si="18"/>
        <v>2023</v>
      </c>
      <c r="H228" s="2" t="str">
        <f t="shared" si="19"/>
        <v>Nov</v>
      </c>
      <c r="I228" s="2">
        <f t="shared" si="20"/>
        <v>11</v>
      </c>
      <c r="J228" s="2" t="str">
        <f t="shared" si="21"/>
        <v>2023-11</v>
      </c>
      <c r="K228" s="2">
        <f t="shared" si="22"/>
        <v>46</v>
      </c>
      <c r="L228" s="2">
        <f ca="1">AVERAGE(OFFSET(USD_NGN_Historical_Data__17[[#This Row],[Rate]], -6, 0, 7, 1))</f>
        <v>805.57571428571441</v>
      </c>
      <c r="M228" s="2" t="str">
        <f t="shared" si="23"/>
        <v>Tue</v>
      </c>
    </row>
    <row r="229" spans="1:13" x14ac:dyDescent="0.35">
      <c r="A229" s="4">
        <v>45245</v>
      </c>
      <c r="B229" s="2">
        <v>843.08</v>
      </c>
      <c r="C229" s="2">
        <v>843.58</v>
      </c>
      <c r="D229" s="2">
        <v>846</v>
      </c>
      <c r="E229" s="2">
        <v>843.54</v>
      </c>
      <c r="F229" s="1">
        <v>-2.2000000000000001E-3</v>
      </c>
      <c r="G229" s="2">
        <f t="shared" si="18"/>
        <v>2023</v>
      </c>
      <c r="H229" s="2" t="str">
        <f t="shared" si="19"/>
        <v>Nov</v>
      </c>
      <c r="I229" s="2">
        <f t="shared" si="20"/>
        <v>11</v>
      </c>
      <c r="J229" s="2" t="str">
        <f t="shared" si="21"/>
        <v>2023-11</v>
      </c>
      <c r="K229" s="2">
        <f t="shared" si="22"/>
        <v>46</v>
      </c>
      <c r="L229" s="2">
        <f ca="1">AVERAGE(OFFSET(USD_NGN_Historical_Data__17[[#This Row],[Rate]], -6, 0, 7, 1))</f>
        <v>811.84428571428566</v>
      </c>
      <c r="M229" s="2" t="str">
        <f t="shared" si="23"/>
        <v>Wed</v>
      </c>
    </row>
    <row r="230" spans="1:13" x14ac:dyDescent="0.35">
      <c r="A230" s="4">
        <v>45246</v>
      </c>
      <c r="B230" s="2">
        <v>826.84</v>
      </c>
      <c r="C230" s="2">
        <v>843.58</v>
      </c>
      <c r="D230" s="2">
        <v>845.54</v>
      </c>
      <c r="E230" s="2">
        <v>827.34</v>
      </c>
      <c r="F230" s="1">
        <v>-1.9300000000000001E-2</v>
      </c>
      <c r="G230" s="2">
        <f t="shared" si="18"/>
        <v>2023</v>
      </c>
      <c r="H230" s="2" t="str">
        <f t="shared" si="19"/>
        <v>Nov</v>
      </c>
      <c r="I230" s="2">
        <f t="shared" si="20"/>
        <v>11</v>
      </c>
      <c r="J230" s="2" t="str">
        <f t="shared" si="21"/>
        <v>2023-11</v>
      </c>
      <c r="K230" s="2">
        <f t="shared" si="22"/>
        <v>46</v>
      </c>
      <c r="L230" s="2">
        <f ca="1">AVERAGE(OFFSET(USD_NGN_Historical_Data__17[[#This Row],[Rate]], -6, 0, 7, 1))</f>
        <v>817.66571428571444</v>
      </c>
      <c r="M230" s="2" t="str">
        <f t="shared" si="23"/>
        <v>Thu</v>
      </c>
    </row>
    <row r="231" spans="1:13" x14ac:dyDescent="0.35">
      <c r="A231" s="4">
        <v>45247</v>
      </c>
      <c r="B231" s="2">
        <v>839.54</v>
      </c>
      <c r="C231" s="2">
        <v>827.34</v>
      </c>
      <c r="D231" s="2">
        <v>845.5</v>
      </c>
      <c r="E231" s="2">
        <v>827.34</v>
      </c>
      <c r="F231" s="1">
        <v>1.54E-2</v>
      </c>
      <c r="G231" s="2">
        <f t="shared" si="18"/>
        <v>2023</v>
      </c>
      <c r="H231" s="2" t="str">
        <f t="shared" si="19"/>
        <v>Nov</v>
      </c>
      <c r="I231" s="2">
        <f t="shared" si="20"/>
        <v>11</v>
      </c>
      <c r="J231" s="2" t="str">
        <f t="shared" si="21"/>
        <v>2023-11</v>
      </c>
      <c r="K231" s="2">
        <f t="shared" si="22"/>
        <v>46</v>
      </c>
      <c r="L231" s="2">
        <f ca="1">AVERAGE(OFFSET(USD_NGN_Historical_Data__17[[#This Row],[Rate]], -6, 0, 7, 1))</f>
        <v>822.91428571428571</v>
      </c>
      <c r="M231" s="2" t="str">
        <f t="shared" si="23"/>
        <v>Fri</v>
      </c>
    </row>
    <row r="232" spans="1:13" x14ac:dyDescent="0.35">
      <c r="A232" s="4">
        <v>45250</v>
      </c>
      <c r="B232" s="2">
        <v>819.68</v>
      </c>
      <c r="C232" s="2">
        <v>840.04</v>
      </c>
      <c r="D232" s="2">
        <v>845.5</v>
      </c>
      <c r="E232" s="2">
        <v>819.84</v>
      </c>
      <c r="F232" s="1">
        <v>-2.3699999999999999E-2</v>
      </c>
      <c r="G232" s="2">
        <f t="shared" si="18"/>
        <v>2023</v>
      </c>
      <c r="H232" s="2" t="str">
        <f t="shared" si="19"/>
        <v>Nov</v>
      </c>
      <c r="I232" s="2">
        <f t="shared" si="20"/>
        <v>11</v>
      </c>
      <c r="J232" s="2" t="str">
        <f t="shared" si="21"/>
        <v>2023-11</v>
      </c>
      <c r="K232" s="2">
        <f t="shared" si="22"/>
        <v>47</v>
      </c>
      <c r="L232" s="2">
        <f ca="1">AVERAGE(OFFSET(USD_NGN_Historical_Data__17[[#This Row],[Rate]], -6, 0, 7, 1))</f>
        <v>825.43999999999994</v>
      </c>
      <c r="M232" s="2" t="str">
        <f t="shared" si="23"/>
        <v>Mon</v>
      </c>
    </row>
    <row r="233" spans="1:13" x14ac:dyDescent="0.35">
      <c r="A233" s="4">
        <v>45251</v>
      </c>
      <c r="B233" s="2">
        <v>816.1</v>
      </c>
      <c r="C233" s="2">
        <v>820.18</v>
      </c>
      <c r="D233" s="2">
        <v>821.84</v>
      </c>
      <c r="E233" s="2">
        <v>816.6</v>
      </c>
      <c r="F233" s="1">
        <v>-4.4000000000000003E-3</v>
      </c>
      <c r="G233" s="2">
        <f t="shared" si="18"/>
        <v>2023</v>
      </c>
      <c r="H233" s="2" t="str">
        <f t="shared" si="19"/>
        <v>Nov</v>
      </c>
      <c r="I233" s="2">
        <f t="shared" si="20"/>
        <v>11</v>
      </c>
      <c r="J233" s="2" t="str">
        <f t="shared" si="21"/>
        <v>2023-11</v>
      </c>
      <c r="K233" s="2">
        <f t="shared" si="22"/>
        <v>47</v>
      </c>
      <c r="L233" s="2">
        <f ca="1">AVERAGE(OFFSET(USD_NGN_Historical_Data__17[[#This Row],[Rate]], -6, 0, 7, 1))</f>
        <v>827.45428571428579</v>
      </c>
      <c r="M233" s="2" t="str">
        <f t="shared" si="23"/>
        <v>Tue</v>
      </c>
    </row>
    <row r="234" spans="1:13" x14ac:dyDescent="0.35">
      <c r="A234" s="4">
        <v>45252</v>
      </c>
      <c r="B234" s="2">
        <v>803.89</v>
      </c>
      <c r="C234" s="2">
        <v>816.6</v>
      </c>
      <c r="D234" s="2">
        <v>816.6</v>
      </c>
      <c r="E234" s="2">
        <v>804.39</v>
      </c>
      <c r="F234" s="1">
        <v>-1.4999999999999999E-2</v>
      </c>
      <c r="G234" s="2">
        <f t="shared" si="18"/>
        <v>2023</v>
      </c>
      <c r="H234" s="2" t="str">
        <f t="shared" si="19"/>
        <v>Nov</v>
      </c>
      <c r="I234" s="2">
        <f t="shared" si="20"/>
        <v>11</v>
      </c>
      <c r="J234" s="2" t="str">
        <f t="shared" si="21"/>
        <v>2023-11</v>
      </c>
      <c r="K234" s="2">
        <f t="shared" si="22"/>
        <v>47</v>
      </c>
      <c r="L234" s="2">
        <f ca="1">AVERAGE(OFFSET(USD_NGN_Historical_Data__17[[#This Row],[Rate]], -6, 0, 7, 1))</f>
        <v>827.72428571428577</v>
      </c>
      <c r="M234" s="2" t="str">
        <f t="shared" si="23"/>
        <v>Wed</v>
      </c>
    </row>
    <row r="235" spans="1:13" x14ac:dyDescent="0.35">
      <c r="A235" s="4">
        <v>45253</v>
      </c>
      <c r="B235" s="2">
        <v>803.89</v>
      </c>
      <c r="C235" s="2">
        <v>804.39</v>
      </c>
      <c r="D235" s="2">
        <v>804.39</v>
      </c>
      <c r="E235" s="2">
        <v>804.39</v>
      </c>
      <c r="F235" s="1">
        <v>0</v>
      </c>
      <c r="G235" s="2">
        <f t="shared" si="18"/>
        <v>2023</v>
      </c>
      <c r="H235" s="2" t="str">
        <f t="shared" si="19"/>
        <v>Nov</v>
      </c>
      <c r="I235" s="2">
        <f t="shared" si="20"/>
        <v>11</v>
      </c>
      <c r="J235" s="2" t="str">
        <f t="shared" si="21"/>
        <v>2023-11</v>
      </c>
      <c r="K235" s="2">
        <f t="shared" si="22"/>
        <v>47</v>
      </c>
      <c r="L235" s="2">
        <f ca="1">AVERAGE(OFFSET(USD_NGN_Historical_Data__17[[#This Row],[Rate]], -6, 0, 7, 1))</f>
        <v>821.86</v>
      </c>
      <c r="M235" s="2" t="str">
        <f t="shared" si="23"/>
        <v>Thu</v>
      </c>
    </row>
    <row r="236" spans="1:13" x14ac:dyDescent="0.35">
      <c r="A236" s="4">
        <v>45254</v>
      </c>
      <c r="B236" s="2">
        <v>804</v>
      </c>
      <c r="C236" s="2">
        <v>804.39</v>
      </c>
      <c r="D236" s="2">
        <v>806.5</v>
      </c>
      <c r="E236" s="2">
        <v>804.39</v>
      </c>
      <c r="F236" s="1">
        <v>1E-4</v>
      </c>
      <c r="G236" s="2">
        <f t="shared" si="18"/>
        <v>2023</v>
      </c>
      <c r="H236" s="2" t="str">
        <f t="shared" si="19"/>
        <v>Nov</v>
      </c>
      <c r="I236" s="2">
        <f t="shared" si="20"/>
        <v>11</v>
      </c>
      <c r="J236" s="2" t="str">
        <f t="shared" si="21"/>
        <v>2023-11</v>
      </c>
      <c r="K236" s="2">
        <f t="shared" si="22"/>
        <v>47</v>
      </c>
      <c r="L236" s="2">
        <f ca="1">AVERAGE(OFFSET(USD_NGN_Historical_Data__17[[#This Row],[Rate]], -6, 0, 7, 1))</f>
        <v>816.27714285714296</v>
      </c>
      <c r="M236" s="2" t="str">
        <f t="shared" si="23"/>
        <v>Fri</v>
      </c>
    </row>
    <row r="237" spans="1:13" x14ac:dyDescent="0.35">
      <c r="A237" s="4">
        <v>45257</v>
      </c>
      <c r="B237" s="2">
        <v>799</v>
      </c>
      <c r="C237" s="2">
        <v>789.5</v>
      </c>
      <c r="D237" s="2">
        <v>806.5</v>
      </c>
      <c r="E237" s="2">
        <v>789.5</v>
      </c>
      <c r="F237" s="1">
        <v>-6.1999999999999998E-3</v>
      </c>
      <c r="G237" s="2">
        <f t="shared" si="18"/>
        <v>2023</v>
      </c>
      <c r="H237" s="2" t="str">
        <f t="shared" si="19"/>
        <v>Nov</v>
      </c>
      <c r="I237" s="2">
        <f t="shared" si="20"/>
        <v>11</v>
      </c>
      <c r="J237" s="2" t="str">
        <f t="shared" si="21"/>
        <v>2023-11</v>
      </c>
      <c r="K237" s="2">
        <f t="shared" si="22"/>
        <v>48</v>
      </c>
      <c r="L237" s="2">
        <f ca="1">AVERAGE(OFFSET(USD_NGN_Historical_Data__17[[#This Row],[Rate]], -6, 0, 7, 1))</f>
        <v>812.3</v>
      </c>
      <c r="M237" s="2" t="str">
        <f t="shared" si="23"/>
        <v>Mon</v>
      </c>
    </row>
    <row r="238" spans="1:13" x14ac:dyDescent="0.35">
      <c r="A238" s="4">
        <v>45258</v>
      </c>
      <c r="B238" s="2">
        <v>789</v>
      </c>
      <c r="C238" s="2">
        <v>799.5</v>
      </c>
      <c r="D238" s="2">
        <v>806.5</v>
      </c>
      <c r="E238" s="2">
        <v>789.5</v>
      </c>
      <c r="F238" s="1">
        <v>-1.2500000000000001E-2</v>
      </c>
      <c r="G238" s="2">
        <f t="shared" si="18"/>
        <v>2023</v>
      </c>
      <c r="H238" s="2" t="str">
        <f t="shared" si="19"/>
        <v>Nov</v>
      </c>
      <c r="I238" s="2">
        <f t="shared" si="20"/>
        <v>11</v>
      </c>
      <c r="J238" s="2" t="str">
        <f t="shared" si="21"/>
        <v>2023-11</v>
      </c>
      <c r="K238" s="2">
        <f t="shared" si="22"/>
        <v>48</v>
      </c>
      <c r="L238" s="2">
        <f ca="1">AVERAGE(OFFSET(USD_NGN_Historical_Data__17[[#This Row],[Rate]], -6, 0, 7, 1))</f>
        <v>805.07999999999993</v>
      </c>
      <c r="M238" s="2" t="str">
        <f t="shared" si="23"/>
        <v>Tue</v>
      </c>
    </row>
    <row r="239" spans="1:13" x14ac:dyDescent="0.35">
      <c r="A239" s="4">
        <v>45259</v>
      </c>
      <c r="B239" s="2">
        <v>793</v>
      </c>
      <c r="C239" s="2">
        <v>789.5</v>
      </c>
      <c r="D239" s="2">
        <v>793.5</v>
      </c>
      <c r="E239" s="2">
        <v>789.5</v>
      </c>
      <c r="F239" s="1">
        <v>5.1000000000000004E-3</v>
      </c>
      <c r="G239" s="2">
        <f t="shared" si="18"/>
        <v>2023</v>
      </c>
      <c r="H239" s="2" t="str">
        <f t="shared" si="19"/>
        <v>Nov</v>
      </c>
      <c r="I239" s="2">
        <f t="shared" si="20"/>
        <v>11</v>
      </c>
      <c r="J239" s="2" t="str">
        <f t="shared" si="21"/>
        <v>2023-11</v>
      </c>
      <c r="K239" s="2">
        <f t="shared" si="22"/>
        <v>48</v>
      </c>
      <c r="L239" s="2">
        <f ca="1">AVERAGE(OFFSET(USD_NGN_Historical_Data__17[[#This Row],[Rate]], -6, 0, 7, 1))</f>
        <v>801.26857142857148</v>
      </c>
      <c r="M239" s="2" t="str">
        <f t="shared" si="23"/>
        <v>Wed</v>
      </c>
    </row>
    <row r="240" spans="1:13" x14ac:dyDescent="0.35">
      <c r="A240" s="4">
        <v>45260</v>
      </c>
      <c r="B240" s="2">
        <v>790</v>
      </c>
      <c r="C240" s="2">
        <v>793.5</v>
      </c>
      <c r="D240" s="2">
        <v>793.5</v>
      </c>
      <c r="E240" s="2">
        <v>789.5</v>
      </c>
      <c r="F240" s="1">
        <v>-3.8E-3</v>
      </c>
      <c r="G240" s="2">
        <f t="shared" si="18"/>
        <v>2023</v>
      </c>
      <c r="H240" s="2" t="str">
        <f t="shared" si="19"/>
        <v>Nov</v>
      </c>
      <c r="I240" s="2">
        <f t="shared" si="20"/>
        <v>11</v>
      </c>
      <c r="J240" s="2" t="str">
        <f t="shared" si="21"/>
        <v>2023-11</v>
      </c>
      <c r="K240" s="2">
        <f t="shared" si="22"/>
        <v>48</v>
      </c>
      <c r="L240" s="2">
        <f ca="1">AVERAGE(OFFSET(USD_NGN_Historical_Data__17[[#This Row],[Rate]], -6, 0, 7, 1))</f>
        <v>797.54</v>
      </c>
      <c r="M240" s="2" t="str">
        <f t="shared" si="23"/>
        <v>Thu</v>
      </c>
    </row>
    <row r="241" spans="1:13" x14ac:dyDescent="0.35">
      <c r="A241" s="4">
        <v>45261</v>
      </c>
      <c r="B241" s="2">
        <v>788</v>
      </c>
      <c r="C241" s="2">
        <v>790.5</v>
      </c>
      <c r="D241" s="2">
        <v>790.5</v>
      </c>
      <c r="E241" s="2">
        <v>788.5</v>
      </c>
      <c r="F241" s="1">
        <v>-2.5000000000000001E-3</v>
      </c>
      <c r="G241" s="2">
        <f t="shared" si="18"/>
        <v>2023</v>
      </c>
      <c r="H241" s="2" t="str">
        <f t="shared" si="19"/>
        <v>Dec</v>
      </c>
      <c r="I241" s="2">
        <f t="shared" si="20"/>
        <v>12</v>
      </c>
      <c r="J241" s="2" t="str">
        <f t="shared" si="21"/>
        <v>2023-12</v>
      </c>
      <c r="K241" s="2">
        <f t="shared" si="22"/>
        <v>48</v>
      </c>
      <c r="L241" s="2">
        <f ca="1">AVERAGE(OFFSET(USD_NGN_Historical_Data__17[[#This Row],[Rate]], -6, 0, 7, 1))</f>
        <v>795.26999999999987</v>
      </c>
      <c r="M241" s="2" t="str">
        <f t="shared" si="23"/>
        <v>Fri</v>
      </c>
    </row>
    <row r="242" spans="1:13" x14ac:dyDescent="0.35">
      <c r="A242" s="4">
        <v>45264</v>
      </c>
      <c r="B242" s="2">
        <v>798</v>
      </c>
      <c r="C242" s="2">
        <v>789</v>
      </c>
      <c r="D242" s="2">
        <v>799.5</v>
      </c>
      <c r="E242" s="2">
        <v>789</v>
      </c>
      <c r="F242" s="1">
        <v>1.2699999999999999E-2</v>
      </c>
      <c r="G242" s="2">
        <f t="shared" si="18"/>
        <v>2023</v>
      </c>
      <c r="H242" s="2" t="str">
        <f t="shared" si="19"/>
        <v>Dec</v>
      </c>
      <c r="I242" s="2">
        <f t="shared" si="20"/>
        <v>12</v>
      </c>
      <c r="J242" s="2" t="str">
        <f t="shared" si="21"/>
        <v>2023-12</v>
      </c>
      <c r="K242" s="2">
        <f t="shared" si="22"/>
        <v>49</v>
      </c>
      <c r="L242" s="2">
        <f ca="1">AVERAGE(OFFSET(USD_NGN_Historical_Data__17[[#This Row],[Rate]], -6, 0, 7, 1))</f>
        <v>794.42857142857144</v>
      </c>
      <c r="M242" s="2" t="str">
        <f t="shared" si="23"/>
        <v>Mon</v>
      </c>
    </row>
    <row r="243" spans="1:13" x14ac:dyDescent="0.35">
      <c r="A243" s="4">
        <v>45265</v>
      </c>
      <c r="B243" s="2">
        <v>801</v>
      </c>
      <c r="C243" s="2">
        <v>799</v>
      </c>
      <c r="D243" s="2">
        <v>819.5</v>
      </c>
      <c r="E243" s="2">
        <v>789.5</v>
      </c>
      <c r="F243" s="1">
        <v>3.8E-3</v>
      </c>
      <c r="G243" s="2">
        <f t="shared" si="18"/>
        <v>2023</v>
      </c>
      <c r="H243" s="2" t="str">
        <f t="shared" si="19"/>
        <v>Dec</v>
      </c>
      <c r="I243" s="2">
        <f t="shared" si="20"/>
        <v>12</v>
      </c>
      <c r="J243" s="2" t="str">
        <f t="shared" si="21"/>
        <v>2023-12</v>
      </c>
      <c r="K243" s="2">
        <f t="shared" si="22"/>
        <v>49</v>
      </c>
      <c r="L243" s="2">
        <f ca="1">AVERAGE(OFFSET(USD_NGN_Historical_Data__17[[#This Row],[Rate]], -6, 0, 7, 1))</f>
        <v>794</v>
      </c>
      <c r="M243" s="2" t="str">
        <f t="shared" si="23"/>
        <v>Tue</v>
      </c>
    </row>
    <row r="244" spans="1:13" x14ac:dyDescent="0.35">
      <c r="A244" s="4">
        <v>45266</v>
      </c>
      <c r="B244" s="2">
        <v>801</v>
      </c>
      <c r="C244" s="2">
        <v>802</v>
      </c>
      <c r="D244" s="2">
        <v>802</v>
      </c>
      <c r="E244" s="2">
        <v>802</v>
      </c>
      <c r="F244" s="1">
        <v>0</v>
      </c>
      <c r="G244" s="2">
        <f t="shared" si="18"/>
        <v>2023</v>
      </c>
      <c r="H244" s="2" t="str">
        <f t="shared" si="19"/>
        <v>Dec</v>
      </c>
      <c r="I244" s="2">
        <f t="shared" si="20"/>
        <v>12</v>
      </c>
      <c r="J244" s="2" t="str">
        <f t="shared" si="21"/>
        <v>2023-12</v>
      </c>
      <c r="K244" s="2">
        <f t="shared" si="22"/>
        <v>49</v>
      </c>
      <c r="L244" s="2">
        <f ca="1">AVERAGE(OFFSET(USD_NGN_Historical_Data__17[[#This Row],[Rate]], -6, 0, 7, 1))</f>
        <v>794.28571428571433</v>
      </c>
      <c r="M244" s="2" t="str">
        <f t="shared" si="23"/>
        <v>Wed</v>
      </c>
    </row>
    <row r="245" spans="1:13" x14ac:dyDescent="0.35">
      <c r="A245" s="4">
        <v>45267</v>
      </c>
      <c r="B245" s="2">
        <v>800</v>
      </c>
      <c r="C245" s="2">
        <v>802</v>
      </c>
      <c r="D245" s="2">
        <v>803</v>
      </c>
      <c r="E245" s="2">
        <v>789.5</v>
      </c>
      <c r="F245" s="1">
        <v>-1.1999999999999999E-3</v>
      </c>
      <c r="G245" s="2">
        <f t="shared" si="18"/>
        <v>2023</v>
      </c>
      <c r="H245" s="2" t="str">
        <f t="shared" si="19"/>
        <v>Dec</v>
      </c>
      <c r="I245" s="2">
        <f t="shared" si="20"/>
        <v>12</v>
      </c>
      <c r="J245" s="2" t="str">
        <f t="shared" si="21"/>
        <v>2023-12</v>
      </c>
      <c r="K245" s="2">
        <f t="shared" si="22"/>
        <v>49</v>
      </c>
      <c r="L245" s="2">
        <f ca="1">AVERAGE(OFFSET(USD_NGN_Historical_Data__17[[#This Row],[Rate]], -6, 0, 7, 1))</f>
        <v>795.85714285714289</v>
      </c>
      <c r="M245" s="2" t="str">
        <f t="shared" si="23"/>
        <v>Thu</v>
      </c>
    </row>
    <row r="246" spans="1:13" x14ac:dyDescent="0.35">
      <c r="A246" s="4">
        <v>45268</v>
      </c>
      <c r="B246" s="2">
        <v>790</v>
      </c>
      <c r="C246" s="2">
        <v>801</v>
      </c>
      <c r="D246" s="2">
        <v>802.5</v>
      </c>
      <c r="E246" s="2">
        <v>789.5</v>
      </c>
      <c r="F246" s="1">
        <v>-1.2500000000000001E-2</v>
      </c>
      <c r="G246" s="2">
        <f t="shared" si="18"/>
        <v>2023</v>
      </c>
      <c r="H246" s="2" t="str">
        <f t="shared" si="19"/>
        <v>Dec</v>
      </c>
      <c r="I246" s="2">
        <f t="shared" si="20"/>
        <v>12</v>
      </c>
      <c r="J246" s="2" t="str">
        <f t="shared" si="21"/>
        <v>2023-12</v>
      </c>
      <c r="K246" s="2">
        <f t="shared" si="22"/>
        <v>49</v>
      </c>
      <c r="L246" s="2">
        <f ca="1">AVERAGE(OFFSET(USD_NGN_Historical_Data__17[[#This Row],[Rate]], -6, 0, 7, 1))</f>
        <v>795.42857142857144</v>
      </c>
      <c r="M246" s="2" t="str">
        <f t="shared" si="23"/>
        <v>Fri</v>
      </c>
    </row>
    <row r="247" spans="1:13" x14ac:dyDescent="0.35">
      <c r="A247" s="4">
        <v>45271</v>
      </c>
      <c r="B247" s="2">
        <v>790</v>
      </c>
      <c r="C247" s="2">
        <v>791</v>
      </c>
      <c r="D247" s="2">
        <v>802.5</v>
      </c>
      <c r="E247" s="2">
        <v>789.5</v>
      </c>
      <c r="F247" s="1">
        <v>0</v>
      </c>
      <c r="G247" s="2">
        <f t="shared" si="18"/>
        <v>2023</v>
      </c>
      <c r="H247" s="2" t="str">
        <f t="shared" si="19"/>
        <v>Dec</v>
      </c>
      <c r="I247" s="2">
        <f t="shared" si="20"/>
        <v>12</v>
      </c>
      <c r="J247" s="2" t="str">
        <f t="shared" si="21"/>
        <v>2023-12</v>
      </c>
      <c r="K247" s="2">
        <f t="shared" si="22"/>
        <v>50</v>
      </c>
      <c r="L247" s="2">
        <f ca="1">AVERAGE(OFFSET(USD_NGN_Historical_Data__17[[#This Row],[Rate]], -6, 0, 7, 1))</f>
        <v>795.42857142857144</v>
      </c>
      <c r="M247" s="2" t="str">
        <f t="shared" si="23"/>
        <v>Mon</v>
      </c>
    </row>
    <row r="248" spans="1:13" x14ac:dyDescent="0.35">
      <c r="A248" s="4">
        <v>45272</v>
      </c>
      <c r="B248" s="2">
        <v>801.45</v>
      </c>
      <c r="C248" s="2">
        <v>791</v>
      </c>
      <c r="D248" s="2">
        <v>803.22500000000002</v>
      </c>
      <c r="E248" s="2">
        <v>789.5</v>
      </c>
      <c r="F248" s="1">
        <v>1.4500000000000001E-2</v>
      </c>
      <c r="G248" s="2">
        <f t="shared" si="18"/>
        <v>2023</v>
      </c>
      <c r="H248" s="2" t="str">
        <f t="shared" si="19"/>
        <v>Dec</v>
      </c>
      <c r="I248" s="2">
        <f t="shared" si="20"/>
        <v>12</v>
      </c>
      <c r="J248" s="2" t="str">
        <f t="shared" si="21"/>
        <v>2023-12</v>
      </c>
      <c r="K248" s="2">
        <f t="shared" si="22"/>
        <v>50</v>
      </c>
      <c r="L248" s="2">
        <f ca="1">AVERAGE(OFFSET(USD_NGN_Historical_Data__17[[#This Row],[Rate]], -6, 0, 7, 1))</f>
        <v>797.35</v>
      </c>
      <c r="M248" s="2" t="str">
        <f t="shared" si="23"/>
        <v>Tue</v>
      </c>
    </row>
    <row r="249" spans="1:13" x14ac:dyDescent="0.35">
      <c r="A249" s="4">
        <v>45273</v>
      </c>
      <c r="B249" s="2">
        <v>802</v>
      </c>
      <c r="C249" s="2">
        <v>802.42</v>
      </c>
      <c r="D249" s="2">
        <v>803.5</v>
      </c>
      <c r="E249" s="2">
        <v>789.5</v>
      </c>
      <c r="F249" s="1">
        <v>6.9999999999999999E-4</v>
      </c>
      <c r="G249" s="2">
        <f t="shared" si="18"/>
        <v>2023</v>
      </c>
      <c r="H249" s="2" t="str">
        <f t="shared" si="19"/>
        <v>Dec</v>
      </c>
      <c r="I249" s="2">
        <f t="shared" si="20"/>
        <v>12</v>
      </c>
      <c r="J249" s="2" t="str">
        <f t="shared" si="21"/>
        <v>2023-12</v>
      </c>
      <c r="K249" s="2">
        <f t="shared" si="22"/>
        <v>50</v>
      </c>
      <c r="L249" s="2">
        <f ca="1">AVERAGE(OFFSET(USD_NGN_Historical_Data__17[[#This Row],[Rate]], -6, 0, 7, 1))</f>
        <v>797.92142857142858</v>
      </c>
      <c r="M249" s="2" t="str">
        <f t="shared" si="23"/>
        <v>Wed</v>
      </c>
    </row>
    <row r="250" spans="1:13" x14ac:dyDescent="0.35">
      <c r="A250" s="4">
        <v>45274</v>
      </c>
      <c r="B250" s="2">
        <v>790</v>
      </c>
      <c r="C250" s="2">
        <v>803</v>
      </c>
      <c r="D250" s="2">
        <v>803.5</v>
      </c>
      <c r="E250" s="2">
        <v>789.5</v>
      </c>
      <c r="F250" s="1">
        <v>-1.4999999999999999E-2</v>
      </c>
      <c r="G250" s="2">
        <f t="shared" si="18"/>
        <v>2023</v>
      </c>
      <c r="H250" s="2" t="str">
        <f t="shared" si="19"/>
        <v>Dec</v>
      </c>
      <c r="I250" s="2">
        <f t="shared" si="20"/>
        <v>12</v>
      </c>
      <c r="J250" s="2" t="str">
        <f t="shared" si="21"/>
        <v>2023-12</v>
      </c>
      <c r="K250" s="2">
        <f t="shared" si="22"/>
        <v>50</v>
      </c>
      <c r="L250" s="2">
        <f ca="1">AVERAGE(OFFSET(USD_NGN_Historical_Data__17[[#This Row],[Rate]], -6, 0, 7, 1))</f>
        <v>796.35</v>
      </c>
      <c r="M250" s="2" t="str">
        <f t="shared" si="23"/>
        <v>Thu</v>
      </c>
    </row>
    <row r="251" spans="1:13" x14ac:dyDescent="0.35">
      <c r="A251" s="4">
        <v>45275</v>
      </c>
      <c r="B251" s="2">
        <v>789</v>
      </c>
      <c r="C251" s="2">
        <v>791</v>
      </c>
      <c r="D251" s="2">
        <v>802.5</v>
      </c>
      <c r="E251" s="2">
        <v>789.5</v>
      </c>
      <c r="F251" s="1">
        <v>-1.2999999999999999E-3</v>
      </c>
      <c r="G251" s="2">
        <f t="shared" si="18"/>
        <v>2023</v>
      </c>
      <c r="H251" s="2" t="str">
        <f t="shared" si="19"/>
        <v>Dec</v>
      </c>
      <c r="I251" s="2">
        <f t="shared" si="20"/>
        <v>12</v>
      </c>
      <c r="J251" s="2" t="str">
        <f t="shared" si="21"/>
        <v>2023-12</v>
      </c>
      <c r="K251" s="2">
        <f t="shared" si="22"/>
        <v>50</v>
      </c>
      <c r="L251" s="2">
        <f ca="1">AVERAGE(OFFSET(USD_NGN_Historical_Data__17[[#This Row],[Rate]], -6, 0, 7, 1))</f>
        <v>794.63571428571424</v>
      </c>
      <c r="M251" s="2" t="str">
        <f t="shared" si="23"/>
        <v>Fri</v>
      </c>
    </row>
    <row r="252" spans="1:13" x14ac:dyDescent="0.35">
      <c r="A252" s="4">
        <v>45278</v>
      </c>
      <c r="B252" s="2">
        <v>789</v>
      </c>
      <c r="C252" s="2">
        <v>790</v>
      </c>
      <c r="D252" s="2">
        <v>790</v>
      </c>
      <c r="E252" s="2">
        <v>790</v>
      </c>
      <c r="F252" s="1">
        <v>0</v>
      </c>
      <c r="G252" s="2">
        <f t="shared" si="18"/>
        <v>2023</v>
      </c>
      <c r="H252" s="2" t="str">
        <f t="shared" si="19"/>
        <v>Dec</v>
      </c>
      <c r="I252" s="2">
        <f t="shared" si="20"/>
        <v>12</v>
      </c>
      <c r="J252" s="2" t="str">
        <f t="shared" si="21"/>
        <v>2023-12</v>
      </c>
      <c r="K252" s="2">
        <f t="shared" si="22"/>
        <v>51</v>
      </c>
      <c r="L252" s="2">
        <f ca="1">AVERAGE(OFFSET(USD_NGN_Historical_Data__17[[#This Row],[Rate]], -6, 0, 7, 1))</f>
        <v>793.06428571428569</v>
      </c>
      <c r="M252" s="2" t="str">
        <f t="shared" si="23"/>
        <v>Mon</v>
      </c>
    </row>
    <row r="253" spans="1:13" x14ac:dyDescent="0.35">
      <c r="A253" s="4">
        <v>45279</v>
      </c>
      <c r="B253" s="2">
        <v>824</v>
      </c>
      <c r="C253" s="2">
        <v>825</v>
      </c>
      <c r="D253" s="2">
        <v>825</v>
      </c>
      <c r="E253" s="2">
        <v>825</v>
      </c>
      <c r="F253" s="1">
        <v>4.4400000000000002E-2</v>
      </c>
      <c r="G253" s="2">
        <f t="shared" si="18"/>
        <v>2023</v>
      </c>
      <c r="H253" s="2" t="str">
        <f t="shared" si="19"/>
        <v>Dec</v>
      </c>
      <c r="I253" s="2">
        <f t="shared" si="20"/>
        <v>12</v>
      </c>
      <c r="J253" s="2" t="str">
        <f t="shared" si="21"/>
        <v>2023-12</v>
      </c>
      <c r="K253" s="2">
        <f t="shared" si="22"/>
        <v>51</v>
      </c>
      <c r="L253" s="2">
        <f ca="1">AVERAGE(OFFSET(USD_NGN_Historical_Data__17[[#This Row],[Rate]], -6, 0, 7, 1))</f>
        <v>797.92142857142858</v>
      </c>
      <c r="M253" s="2" t="str">
        <f t="shared" si="23"/>
        <v>Tue</v>
      </c>
    </row>
    <row r="254" spans="1:13" x14ac:dyDescent="0.35">
      <c r="A254" s="4">
        <v>45280</v>
      </c>
      <c r="B254" s="2">
        <v>824</v>
      </c>
      <c r="C254" s="2">
        <v>825</v>
      </c>
      <c r="D254" s="2">
        <v>825</v>
      </c>
      <c r="E254" s="2">
        <v>825</v>
      </c>
      <c r="F254" s="1">
        <v>0</v>
      </c>
      <c r="G254" s="2">
        <f t="shared" si="18"/>
        <v>2023</v>
      </c>
      <c r="H254" s="2" t="str">
        <f t="shared" si="19"/>
        <v>Dec</v>
      </c>
      <c r="I254" s="2">
        <f t="shared" si="20"/>
        <v>12</v>
      </c>
      <c r="J254" s="2" t="str">
        <f t="shared" si="21"/>
        <v>2023-12</v>
      </c>
      <c r="K254" s="2">
        <f t="shared" si="22"/>
        <v>51</v>
      </c>
      <c r="L254" s="2">
        <f ca="1">AVERAGE(OFFSET(USD_NGN_Historical_Data__17[[#This Row],[Rate]], -6, 0, 7, 1))</f>
        <v>802.77857142857135</v>
      </c>
      <c r="M254" s="2" t="str">
        <f t="shared" si="23"/>
        <v>Wed</v>
      </c>
    </row>
    <row r="255" spans="1:13" x14ac:dyDescent="0.35">
      <c r="A255" s="4">
        <v>45281</v>
      </c>
      <c r="B255" s="2">
        <v>902</v>
      </c>
      <c r="C255" s="2">
        <v>825</v>
      </c>
      <c r="D255" s="2">
        <v>903</v>
      </c>
      <c r="E255" s="2">
        <v>825</v>
      </c>
      <c r="F255" s="1">
        <v>9.4700000000000006E-2</v>
      </c>
      <c r="G255" s="2">
        <f t="shared" si="18"/>
        <v>2023</v>
      </c>
      <c r="H255" s="2" t="str">
        <f t="shared" si="19"/>
        <v>Dec</v>
      </c>
      <c r="I255" s="2">
        <f t="shared" si="20"/>
        <v>12</v>
      </c>
      <c r="J255" s="2" t="str">
        <f t="shared" si="21"/>
        <v>2023-12</v>
      </c>
      <c r="K255" s="2">
        <f t="shared" si="22"/>
        <v>51</v>
      </c>
      <c r="L255" s="2">
        <f ca="1">AVERAGE(OFFSET(USD_NGN_Historical_Data__17[[#This Row],[Rate]], -6, 0, 7, 1))</f>
        <v>817.14285714285711</v>
      </c>
      <c r="M255" s="2" t="str">
        <f t="shared" si="23"/>
        <v>Thu</v>
      </c>
    </row>
    <row r="256" spans="1:13" x14ac:dyDescent="0.35">
      <c r="A256" s="4">
        <v>45282</v>
      </c>
      <c r="B256" s="2">
        <v>905.39</v>
      </c>
      <c r="C256" s="2">
        <v>903</v>
      </c>
      <c r="D256" s="2">
        <v>906.39</v>
      </c>
      <c r="E256" s="2">
        <v>903</v>
      </c>
      <c r="F256" s="1">
        <v>3.8E-3</v>
      </c>
      <c r="G256" s="2">
        <f t="shared" si="18"/>
        <v>2023</v>
      </c>
      <c r="H256" s="2" t="str">
        <f t="shared" si="19"/>
        <v>Dec</v>
      </c>
      <c r="I256" s="2">
        <f t="shared" si="20"/>
        <v>12</v>
      </c>
      <c r="J256" s="2" t="str">
        <f t="shared" si="21"/>
        <v>2023-12</v>
      </c>
      <c r="K256" s="2">
        <f t="shared" si="22"/>
        <v>51</v>
      </c>
      <c r="L256" s="2">
        <f ca="1">AVERAGE(OFFSET(USD_NGN_Historical_Data__17[[#This Row],[Rate]], -6, 0, 7, 1))</f>
        <v>831.91285714285721</v>
      </c>
      <c r="M256" s="2" t="str">
        <f t="shared" si="23"/>
        <v>Fri</v>
      </c>
    </row>
    <row r="257" spans="1:13" x14ac:dyDescent="0.35">
      <c r="A257" s="4">
        <v>45285</v>
      </c>
      <c r="B257" s="2">
        <v>905.39</v>
      </c>
      <c r="C257" s="2">
        <v>905.39</v>
      </c>
      <c r="D257" s="2">
        <v>905.39</v>
      </c>
      <c r="E257" s="2">
        <v>905.39</v>
      </c>
      <c r="F257" s="1">
        <v>0</v>
      </c>
      <c r="G257" s="2">
        <f t="shared" si="18"/>
        <v>2023</v>
      </c>
      <c r="H257" s="2" t="str">
        <f t="shared" si="19"/>
        <v>Dec</v>
      </c>
      <c r="I257" s="2">
        <f t="shared" si="20"/>
        <v>12</v>
      </c>
      <c r="J257" s="2" t="str">
        <f t="shared" si="21"/>
        <v>2023-12</v>
      </c>
      <c r="K257" s="2">
        <f t="shared" si="22"/>
        <v>52</v>
      </c>
      <c r="L257" s="2">
        <f ca="1">AVERAGE(OFFSET(USD_NGN_Historical_Data__17[[#This Row],[Rate]], -6, 0, 7, 1))</f>
        <v>848.39714285714297</v>
      </c>
      <c r="M257" s="2" t="str">
        <f t="shared" si="23"/>
        <v>Mon</v>
      </c>
    </row>
    <row r="258" spans="1:13" x14ac:dyDescent="0.35">
      <c r="A258" s="4">
        <v>45286</v>
      </c>
      <c r="B258" s="2">
        <v>904.1</v>
      </c>
      <c r="C258" s="2">
        <v>904.1</v>
      </c>
      <c r="D258" s="2">
        <v>906.05</v>
      </c>
      <c r="E258" s="2">
        <v>904.05</v>
      </c>
      <c r="F258" s="1">
        <v>-1.4E-3</v>
      </c>
      <c r="G258" s="2">
        <f t="shared" ref="G258:G321" si="24">YEAR(A258)</f>
        <v>2023</v>
      </c>
      <c r="H258" s="2" t="str">
        <f t="shared" ref="H258:H321" si="25">TEXT(A258,"mmm")</f>
        <v>Dec</v>
      </c>
      <c r="I258" s="2">
        <f t="shared" ref="I258:I321" si="26">MONTH(A258)</f>
        <v>12</v>
      </c>
      <c r="J258" s="2" t="str">
        <f t="shared" ref="J258:J321" si="27">TEXT(A258,"yyyy-mm")</f>
        <v>2023-12</v>
      </c>
      <c r="K258" s="2">
        <f t="shared" ref="K258:K321" si="28">WEEKNUM(A258)</f>
        <v>52</v>
      </c>
      <c r="L258" s="2">
        <f ca="1">AVERAGE(OFFSET(USD_NGN_Historical_Data__17[[#This Row],[Rate]], -6, 0, 7, 1))</f>
        <v>864.84000000000015</v>
      </c>
      <c r="M258" s="2" t="str">
        <f t="shared" ref="M258:M321" si="29">TEXT(A258, "ddd")</f>
        <v>Tue</v>
      </c>
    </row>
    <row r="259" spans="1:13" x14ac:dyDescent="0.35">
      <c r="A259" s="4">
        <v>45287</v>
      </c>
      <c r="B259" s="2">
        <v>884</v>
      </c>
      <c r="C259" s="2">
        <v>905.1</v>
      </c>
      <c r="D259" s="2">
        <v>906.05</v>
      </c>
      <c r="E259" s="2">
        <v>884.5</v>
      </c>
      <c r="F259" s="1">
        <v>-2.2200000000000001E-2</v>
      </c>
      <c r="G259" s="2">
        <f t="shared" si="24"/>
        <v>2023</v>
      </c>
      <c r="H259" s="2" t="str">
        <f t="shared" si="25"/>
        <v>Dec</v>
      </c>
      <c r="I259" s="2">
        <f t="shared" si="26"/>
        <v>12</v>
      </c>
      <c r="J259" s="2" t="str">
        <f t="shared" si="27"/>
        <v>2023-12</v>
      </c>
      <c r="K259" s="2">
        <f t="shared" si="28"/>
        <v>52</v>
      </c>
      <c r="L259" s="2">
        <f ca="1">AVERAGE(OFFSET(USD_NGN_Historical_Data__17[[#This Row],[Rate]], -6, 0, 7, 1))</f>
        <v>878.41142857142859</v>
      </c>
      <c r="M259" s="2" t="str">
        <f t="shared" si="29"/>
        <v>Wed</v>
      </c>
    </row>
    <row r="260" spans="1:13" x14ac:dyDescent="0.35">
      <c r="A260" s="4">
        <v>45288</v>
      </c>
      <c r="B260" s="2">
        <v>895.61</v>
      </c>
      <c r="C260" s="2">
        <v>885</v>
      </c>
      <c r="D260" s="2">
        <v>905.5</v>
      </c>
      <c r="E260" s="2">
        <v>885</v>
      </c>
      <c r="F260" s="1">
        <v>1.3100000000000001E-2</v>
      </c>
      <c r="G260" s="2">
        <f t="shared" si="24"/>
        <v>2023</v>
      </c>
      <c r="H260" s="2" t="str">
        <f t="shared" si="25"/>
        <v>Dec</v>
      </c>
      <c r="I260" s="2">
        <f t="shared" si="26"/>
        <v>12</v>
      </c>
      <c r="J260" s="2" t="str">
        <f t="shared" si="27"/>
        <v>2023-12</v>
      </c>
      <c r="K260" s="2">
        <f t="shared" si="28"/>
        <v>52</v>
      </c>
      <c r="L260" s="2">
        <f ca="1">AVERAGE(OFFSET(USD_NGN_Historical_Data__17[[#This Row],[Rate]], -6, 0, 7, 1))</f>
        <v>888.64142857142849</v>
      </c>
      <c r="M260" s="2" t="str">
        <f t="shared" si="29"/>
        <v>Thu</v>
      </c>
    </row>
    <row r="261" spans="1:13" x14ac:dyDescent="0.35">
      <c r="A261" s="4">
        <v>45289</v>
      </c>
      <c r="B261" s="2">
        <v>881.03</v>
      </c>
      <c r="C261" s="2">
        <v>896.61</v>
      </c>
      <c r="D261" s="2">
        <v>897.80499999999995</v>
      </c>
      <c r="E261" s="2">
        <v>882.03</v>
      </c>
      <c r="F261" s="1">
        <v>-1.6299999999999999E-2</v>
      </c>
      <c r="G261" s="2">
        <f t="shared" si="24"/>
        <v>2023</v>
      </c>
      <c r="H261" s="2" t="str">
        <f t="shared" si="25"/>
        <v>Dec</v>
      </c>
      <c r="I261" s="2">
        <f t="shared" si="26"/>
        <v>12</v>
      </c>
      <c r="J261" s="2" t="str">
        <f t="shared" si="27"/>
        <v>2023-12</v>
      </c>
      <c r="K261" s="2">
        <f t="shared" si="28"/>
        <v>52</v>
      </c>
      <c r="L261" s="2">
        <f ca="1">AVERAGE(OFFSET(USD_NGN_Historical_Data__17[[#This Row],[Rate]], -6, 0, 7, 1))</f>
        <v>896.78857142857123</v>
      </c>
      <c r="M261" s="2" t="str">
        <f t="shared" si="29"/>
        <v>Fri</v>
      </c>
    </row>
    <row r="262" spans="1:13" x14ac:dyDescent="0.35">
      <c r="A262" s="4">
        <v>45292</v>
      </c>
      <c r="B262" s="2">
        <v>881.03</v>
      </c>
      <c r="C262" s="2">
        <v>882.03</v>
      </c>
      <c r="D262" s="2">
        <v>882.03</v>
      </c>
      <c r="E262" s="2">
        <v>882.03</v>
      </c>
      <c r="F262" s="1">
        <v>0</v>
      </c>
      <c r="G262" s="2">
        <f t="shared" si="24"/>
        <v>2024</v>
      </c>
      <c r="H262" s="2" t="str">
        <f t="shared" si="25"/>
        <v>Jan</v>
      </c>
      <c r="I262" s="2">
        <f t="shared" si="26"/>
        <v>1</v>
      </c>
      <c r="J262" s="2" t="str">
        <f t="shared" si="27"/>
        <v>2024-01</v>
      </c>
      <c r="K262" s="2">
        <f t="shared" si="28"/>
        <v>1</v>
      </c>
      <c r="L262" s="2">
        <f ca="1">AVERAGE(OFFSET(USD_NGN_Historical_Data__17[[#This Row],[Rate]], -6, 0, 7, 1))</f>
        <v>893.79285714285709</v>
      </c>
      <c r="M262" s="2" t="str">
        <f t="shared" si="29"/>
        <v>Mon</v>
      </c>
    </row>
    <row r="263" spans="1:13" x14ac:dyDescent="0.35">
      <c r="A263" s="4">
        <v>45293</v>
      </c>
      <c r="B263" s="2">
        <v>883</v>
      </c>
      <c r="C263" s="2">
        <v>882.03</v>
      </c>
      <c r="D263" s="2">
        <v>897.5</v>
      </c>
      <c r="E263" s="2">
        <v>882.03</v>
      </c>
      <c r="F263" s="1">
        <v>2.2000000000000001E-3</v>
      </c>
      <c r="G263" s="2">
        <f t="shared" si="24"/>
        <v>2024</v>
      </c>
      <c r="H263" s="2" t="str">
        <f t="shared" si="25"/>
        <v>Jan</v>
      </c>
      <c r="I263" s="2">
        <f t="shared" si="26"/>
        <v>1</v>
      </c>
      <c r="J263" s="2" t="str">
        <f t="shared" si="27"/>
        <v>2024-01</v>
      </c>
      <c r="K263" s="2">
        <f t="shared" si="28"/>
        <v>1</v>
      </c>
      <c r="L263" s="2">
        <f ca="1">AVERAGE(OFFSET(USD_NGN_Historical_Data__17[[#This Row],[Rate]], -6, 0, 7, 1))</f>
        <v>890.59428571428566</v>
      </c>
      <c r="M263" s="2" t="str">
        <f t="shared" si="29"/>
        <v>Tue</v>
      </c>
    </row>
    <row r="264" spans="1:13" x14ac:dyDescent="0.35">
      <c r="A264" s="4">
        <v>45294</v>
      </c>
      <c r="B264" s="2">
        <v>890.9</v>
      </c>
      <c r="C264" s="2">
        <v>884.8</v>
      </c>
      <c r="D264" s="2">
        <v>891.9</v>
      </c>
      <c r="E264" s="2">
        <v>884.4</v>
      </c>
      <c r="F264" s="1">
        <v>8.8999999999999999E-3</v>
      </c>
      <c r="G264" s="2">
        <f t="shared" si="24"/>
        <v>2024</v>
      </c>
      <c r="H264" s="2" t="str">
        <f t="shared" si="25"/>
        <v>Jan</v>
      </c>
      <c r="I264" s="2">
        <f t="shared" si="26"/>
        <v>1</v>
      </c>
      <c r="J264" s="2" t="str">
        <f t="shared" si="27"/>
        <v>2024-01</v>
      </c>
      <c r="K264" s="2">
        <f t="shared" si="28"/>
        <v>1</v>
      </c>
      <c r="L264" s="2">
        <f ca="1">AVERAGE(OFFSET(USD_NGN_Historical_Data__17[[#This Row],[Rate]], -6, 0, 7, 1))</f>
        <v>888.52428571428561</v>
      </c>
      <c r="M264" s="2" t="str">
        <f t="shared" si="29"/>
        <v>Wed</v>
      </c>
    </row>
    <row r="265" spans="1:13" x14ac:dyDescent="0.35">
      <c r="A265" s="4">
        <v>45295</v>
      </c>
      <c r="B265" s="2">
        <v>911.44</v>
      </c>
      <c r="C265" s="2">
        <v>891.9</v>
      </c>
      <c r="D265" s="2">
        <v>912.44</v>
      </c>
      <c r="E265" s="2">
        <v>884.5</v>
      </c>
      <c r="F265" s="1">
        <v>2.3099999999999999E-2</v>
      </c>
      <c r="G265" s="2">
        <f t="shared" si="24"/>
        <v>2024</v>
      </c>
      <c r="H265" s="2" t="str">
        <f t="shared" si="25"/>
        <v>Jan</v>
      </c>
      <c r="I265" s="2">
        <f t="shared" si="26"/>
        <v>1</v>
      </c>
      <c r="J265" s="2" t="str">
        <f t="shared" si="27"/>
        <v>2024-01</v>
      </c>
      <c r="K265" s="2">
        <f t="shared" si="28"/>
        <v>1</v>
      </c>
      <c r="L265" s="2">
        <f ca="1">AVERAGE(OFFSET(USD_NGN_Historical_Data__17[[#This Row],[Rate]], -6, 0, 7, 1))</f>
        <v>889.57285714285717</v>
      </c>
      <c r="M265" s="2" t="str">
        <f t="shared" si="29"/>
        <v>Thu</v>
      </c>
    </row>
    <row r="266" spans="1:13" x14ac:dyDescent="0.35">
      <c r="A266" s="4">
        <v>45296</v>
      </c>
      <c r="B266" s="2">
        <v>913</v>
      </c>
      <c r="C266" s="2">
        <v>912.44</v>
      </c>
      <c r="D266" s="2">
        <v>914.71500000000003</v>
      </c>
      <c r="E266" s="2">
        <v>884.5</v>
      </c>
      <c r="F266" s="1">
        <v>1.6999999999999999E-3</v>
      </c>
      <c r="G266" s="2">
        <f t="shared" si="24"/>
        <v>2024</v>
      </c>
      <c r="H266" s="2" t="str">
        <f t="shared" si="25"/>
        <v>Jan</v>
      </c>
      <c r="I266" s="2">
        <f t="shared" si="26"/>
        <v>1</v>
      </c>
      <c r="J266" s="2" t="str">
        <f t="shared" si="27"/>
        <v>2024-01</v>
      </c>
      <c r="K266" s="2">
        <f t="shared" si="28"/>
        <v>1</v>
      </c>
      <c r="L266" s="2">
        <f ca="1">AVERAGE(OFFSET(USD_NGN_Historical_Data__17[[#This Row],[Rate]], -6, 0, 7, 1))</f>
        <v>893.71571428571428</v>
      </c>
      <c r="M266" s="2" t="str">
        <f t="shared" si="29"/>
        <v>Fri</v>
      </c>
    </row>
    <row r="267" spans="1:13" x14ac:dyDescent="0.35">
      <c r="A267" s="4">
        <v>45299</v>
      </c>
      <c r="B267" s="2">
        <v>913</v>
      </c>
      <c r="C267" s="2">
        <v>914.43</v>
      </c>
      <c r="D267" s="2">
        <v>914.71500000000003</v>
      </c>
      <c r="E267" s="2">
        <v>884.5</v>
      </c>
      <c r="F267" s="1">
        <v>0</v>
      </c>
      <c r="G267" s="2">
        <f t="shared" si="24"/>
        <v>2024</v>
      </c>
      <c r="H267" s="2" t="str">
        <f t="shared" si="25"/>
        <v>Jan</v>
      </c>
      <c r="I267" s="2">
        <f t="shared" si="26"/>
        <v>1</v>
      </c>
      <c r="J267" s="2" t="str">
        <f t="shared" si="27"/>
        <v>2024-01</v>
      </c>
      <c r="K267" s="2">
        <f t="shared" si="28"/>
        <v>2</v>
      </c>
      <c r="L267" s="2">
        <f ca="1">AVERAGE(OFFSET(USD_NGN_Historical_Data__17[[#This Row],[Rate]], -6, 0, 7, 1))</f>
        <v>896.19999999999993</v>
      </c>
      <c r="M267" s="2" t="str">
        <f t="shared" si="29"/>
        <v>Mon</v>
      </c>
    </row>
    <row r="268" spans="1:13" x14ac:dyDescent="0.35">
      <c r="A268" s="4">
        <v>45300</v>
      </c>
      <c r="B268" s="2">
        <v>913</v>
      </c>
      <c r="C268" s="2">
        <v>885.2</v>
      </c>
      <c r="D268" s="2">
        <v>914.5</v>
      </c>
      <c r="E268" s="2">
        <v>885.2</v>
      </c>
      <c r="F268" s="1">
        <v>0</v>
      </c>
      <c r="G268" s="2">
        <f t="shared" si="24"/>
        <v>2024</v>
      </c>
      <c r="H268" s="2" t="str">
        <f t="shared" si="25"/>
        <v>Jan</v>
      </c>
      <c r="I268" s="2">
        <f t="shared" si="26"/>
        <v>1</v>
      </c>
      <c r="J268" s="2" t="str">
        <f t="shared" si="27"/>
        <v>2024-01</v>
      </c>
      <c r="K268" s="2">
        <f t="shared" si="28"/>
        <v>2</v>
      </c>
      <c r="L268" s="2">
        <f ca="1">AVERAGE(OFFSET(USD_NGN_Historical_Data__17[[#This Row],[Rate]], -6, 0, 7, 1))</f>
        <v>900.76714285714286</v>
      </c>
      <c r="M268" s="2" t="str">
        <f t="shared" si="29"/>
        <v>Tue</v>
      </c>
    </row>
    <row r="269" spans="1:13" x14ac:dyDescent="0.35">
      <c r="A269" s="4">
        <v>45301</v>
      </c>
      <c r="B269" s="2">
        <v>950.49</v>
      </c>
      <c r="C269" s="2">
        <v>952.5</v>
      </c>
      <c r="D269" s="2">
        <v>952.745</v>
      </c>
      <c r="E269" s="2">
        <v>951.245</v>
      </c>
      <c r="F269" s="1">
        <v>4.1099999999999998E-2</v>
      </c>
      <c r="G269" s="2">
        <f t="shared" si="24"/>
        <v>2024</v>
      </c>
      <c r="H269" s="2" t="str">
        <f t="shared" si="25"/>
        <v>Jan</v>
      </c>
      <c r="I269" s="2">
        <f t="shared" si="26"/>
        <v>1</v>
      </c>
      <c r="J269" s="2" t="str">
        <f t="shared" si="27"/>
        <v>2024-01</v>
      </c>
      <c r="K269" s="2">
        <f t="shared" si="28"/>
        <v>2</v>
      </c>
      <c r="L269" s="2">
        <f ca="1">AVERAGE(OFFSET(USD_NGN_Historical_Data__17[[#This Row],[Rate]], -6, 0, 7, 1))</f>
        <v>910.68999999999994</v>
      </c>
      <c r="M269" s="2" t="str">
        <f t="shared" si="29"/>
        <v>Wed</v>
      </c>
    </row>
    <row r="270" spans="1:13" x14ac:dyDescent="0.35">
      <c r="A270" s="4">
        <v>45302</v>
      </c>
      <c r="B270" s="2">
        <v>957.05</v>
      </c>
      <c r="C270" s="2">
        <v>951.49</v>
      </c>
      <c r="D270" s="2">
        <v>959.02499999999998</v>
      </c>
      <c r="E270" s="2">
        <v>951.245</v>
      </c>
      <c r="F270" s="1">
        <v>6.8999999999999999E-3</v>
      </c>
      <c r="G270" s="2">
        <f t="shared" si="24"/>
        <v>2024</v>
      </c>
      <c r="H270" s="2" t="str">
        <f t="shared" si="25"/>
        <v>Jan</v>
      </c>
      <c r="I270" s="2">
        <f t="shared" si="26"/>
        <v>1</v>
      </c>
      <c r="J270" s="2" t="str">
        <f t="shared" si="27"/>
        <v>2024-01</v>
      </c>
      <c r="K270" s="2">
        <f t="shared" si="28"/>
        <v>2</v>
      </c>
      <c r="L270" s="2">
        <f ca="1">AVERAGE(OFFSET(USD_NGN_Historical_Data__17[[#This Row],[Rate]], -6, 0, 7, 1))</f>
        <v>921.26857142857148</v>
      </c>
      <c r="M270" s="2" t="str">
        <f t="shared" si="29"/>
        <v>Thu</v>
      </c>
    </row>
    <row r="271" spans="1:13" x14ac:dyDescent="0.35">
      <c r="A271" s="4">
        <v>45303</v>
      </c>
      <c r="B271" s="2">
        <v>957</v>
      </c>
      <c r="C271" s="2">
        <v>958.05</v>
      </c>
      <c r="D271" s="2">
        <v>959.02499999999998</v>
      </c>
      <c r="E271" s="2">
        <v>958.02499999999998</v>
      </c>
      <c r="F271" s="1">
        <v>-1E-4</v>
      </c>
      <c r="G271" s="2">
        <f t="shared" si="24"/>
        <v>2024</v>
      </c>
      <c r="H271" s="2" t="str">
        <f t="shared" si="25"/>
        <v>Jan</v>
      </c>
      <c r="I271" s="2">
        <f t="shared" si="26"/>
        <v>1</v>
      </c>
      <c r="J271" s="2" t="str">
        <f t="shared" si="27"/>
        <v>2024-01</v>
      </c>
      <c r="K271" s="2">
        <f t="shared" si="28"/>
        <v>2</v>
      </c>
      <c r="L271" s="2">
        <f ca="1">AVERAGE(OFFSET(USD_NGN_Historical_Data__17[[#This Row],[Rate]], -6, 0, 7, 1))</f>
        <v>930.71142857142866</v>
      </c>
      <c r="M271" s="2" t="str">
        <f t="shared" si="29"/>
        <v>Fri</v>
      </c>
    </row>
    <row r="272" spans="1:13" x14ac:dyDescent="0.35">
      <c r="A272" s="4">
        <v>45306</v>
      </c>
      <c r="B272" s="2">
        <v>864.99</v>
      </c>
      <c r="C272" s="2">
        <v>865.99</v>
      </c>
      <c r="D272" s="2">
        <v>879.68</v>
      </c>
      <c r="E272" s="2">
        <v>865.99</v>
      </c>
      <c r="F272" s="1">
        <v>-9.6100000000000005E-2</v>
      </c>
      <c r="G272" s="2">
        <f t="shared" si="24"/>
        <v>2024</v>
      </c>
      <c r="H272" s="2" t="str">
        <f t="shared" si="25"/>
        <v>Jan</v>
      </c>
      <c r="I272" s="2">
        <f t="shared" si="26"/>
        <v>1</v>
      </c>
      <c r="J272" s="2" t="str">
        <f t="shared" si="27"/>
        <v>2024-01</v>
      </c>
      <c r="K272" s="2">
        <f t="shared" si="28"/>
        <v>3</v>
      </c>
      <c r="L272" s="2">
        <f ca="1">AVERAGE(OFFSET(USD_NGN_Historical_Data__17[[#This Row],[Rate]], -6, 0, 7, 1))</f>
        <v>924.0757142857143</v>
      </c>
      <c r="M272" s="2" t="str">
        <f t="shared" si="29"/>
        <v>Mon</v>
      </c>
    </row>
    <row r="273" spans="1:13" x14ac:dyDescent="0.35">
      <c r="A273" s="4">
        <v>45307</v>
      </c>
      <c r="B273" s="2">
        <v>852.77</v>
      </c>
      <c r="C273" s="2">
        <v>865.99</v>
      </c>
      <c r="D273" s="2">
        <v>910.75</v>
      </c>
      <c r="E273" s="2">
        <v>853.77</v>
      </c>
      <c r="F273" s="1">
        <v>-1.41E-2</v>
      </c>
      <c r="G273" s="2">
        <f t="shared" si="24"/>
        <v>2024</v>
      </c>
      <c r="H273" s="2" t="str">
        <f t="shared" si="25"/>
        <v>Jan</v>
      </c>
      <c r="I273" s="2">
        <f t="shared" si="26"/>
        <v>1</v>
      </c>
      <c r="J273" s="2" t="str">
        <f t="shared" si="27"/>
        <v>2024-01</v>
      </c>
      <c r="K273" s="2">
        <f t="shared" si="28"/>
        <v>3</v>
      </c>
      <c r="L273" s="2">
        <f ca="1">AVERAGE(OFFSET(USD_NGN_Historical_Data__17[[#This Row],[Rate]], -6, 0, 7, 1))</f>
        <v>915.47142857142842</v>
      </c>
      <c r="M273" s="2" t="str">
        <f t="shared" si="29"/>
        <v>Tue</v>
      </c>
    </row>
    <row r="274" spans="1:13" x14ac:dyDescent="0.35">
      <c r="A274" s="4">
        <v>45308</v>
      </c>
      <c r="B274" s="2">
        <v>858</v>
      </c>
      <c r="C274" s="2">
        <v>853.77</v>
      </c>
      <c r="D274" s="2">
        <v>910.75</v>
      </c>
      <c r="E274" s="2">
        <v>853.77</v>
      </c>
      <c r="F274" s="1">
        <v>6.1000000000000004E-3</v>
      </c>
      <c r="G274" s="2">
        <f t="shared" si="24"/>
        <v>2024</v>
      </c>
      <c r="H274" s="2" t="str">
        <f t="shared" si="25"/>
        <v>Jan</v>
      </c>
      <c r="I274" s="2">
        <f t="shared" si="26"/>
        <v>1</v>
      </c>
      <c r="J274" s="2" t="str">
        <f t="shared" si="27"/>
        <v>2024-01</v>
      </c>
      <c r="K274" s="2">
        <f t="shared" si="28"/>
        <v>3</v>
      </c>
      <c r="L274" s="2">
        <f ca="1">AVERAGE(OFFSET(USD_NGN_Historical_Data__17[[#This Row],[Rate]], -6, 0, 7, 1))</f>
        <v>907.61428571428564</v>
      </c>
      <c r="M274" s="2" t="str">
        <f t="shared" si="29"/>
        <v>Wed</v>
      </c>
    </row>
    <row r="275" spans="1:13" x14ac:dyDescent="0.35">
      <c r="A275" s="4">
        <v>45309</v>
      </c>
      <c r="B275" s="2">
        <v>894.52</v>
      </c>
      <c r="C275" s="2">
        <v>859.06</v>
      </c>
      <c r="D275" s="2">
        <v>910.75</v>
      </c>
      <c r="E275" s="2">
        <v>859.06</v>
      </c>
      <c r="F275" s="1">
        <v>4.2599999999999999E-2</v>
      </c>
      <c r="G275" s="2">
        <f t="shared" si="24"/>
        <v>2024</v>
      </c>
      <c r="H275" s="2" t="str">
        <f t="shared" si="25"/>
        <v>Jan</v>
      </c>
      <c r="I275" s="2">
        <f t="shared" si="26"/>
        <v>1</v>
      </c>
      <c r="J275" s="2" t="str">
        <f t="shared" si="27"/>
        <v>2024-01</v>
      </c>
      <c r="K275" s="2">
        <f t="shared" si="28"/>
        <v>3</v>
      </c>
      <c r="L275" s="2">
        <f ca="1">AVERAGE(OFFSET(USD_NGN_Historical_Data__17[[#This Row],[Rate]], -6, 0, 7, 1))</f>
        <v>904.97428571428566</v>
      </c>
      <c r="M275" s="2" t="str">
        <f t="shared" si="29"/>
        <v>Thu</v>
      </c>
    </row>
    <row r="276" spans="1:13" x14ac:dyDescent="0.35">
      <c r="A276" s="4">
        <v>45310</v>
      </c>
      <c r="B276" s="2">
        <v>890.04</v>
      </c>
      <c r="C276" s="2">
        <v>895.52</v>
      </c>
      <c r="D276" s="2">
        <v>910.75</v>
      </c>
      <c r="E276" s="2">
        <v>860.5</v>
      </c>
      <c r="F276" s="1">
        <v>-5.0000000000000001E-3</v>
      </c>
      <c r="G276" s="2">
        <f t="shared" si="24"/>
        <v>2024</v>
      </c>
      <c r="H276" s="2" t="str">
        <f t="shared" si="25"/>
        <v>Jan</v>
      </c>
      <c r="I276" s="2">
        <f t="shared" si="26"/>
        <v>1</v>
      </c>
      <c r="J276" s="2" t="str">
        <f t="shared" si="27"/>
        <v>2024-01</v>
      </c>
      <c r="K276" s="2">
        <f t="shared" si="28"/>
        <v>3</v>
      </c>
      <c r="L276" s="2">
        <f ca="1">AVERAGE(OFFSET(USD_NGN_Historical_Data__17[[#This Row],[Rate]], -6, 0, 7, 1))</f>
        <v>896.33857142857141</v>
      </c>
      <c r="M276" s="2" t="str">
        <f t="shared" si="29"/>
        <v>Fri</v>
      </c>
    </row>
    <row r="277" spans="1:13" x14ac:dyDescent="0.35">
      <c r="A277" s="4">
        <v>45313</v>
      </c>
      <c r="B277" s="2">
        <v>890.01</v>
      </c>
      <c r="C277" s="2">
        <v>891.04</v>
      </c>
      <c r="D277" s="2">
        <v>911</v>
      </c>
      <c r="E277" s="2">
        <v>891.005</v>
      </c>
      <c r="F277" s="1">
        <v>0</v>
      </c>
      <c r="G277" s="2">
        <f t="shared" si="24"/>
        <v>2024</v>
      </c>
      <c r="H277" s="2" t="str">
        <f t="shared" si="25"/>
        <v>Jan</v>
      </c>
      <c r="I277" s="2">
        <f t="shared" si="26"/>
        <v>1</v>
      </c>
      <c r="J277" s="2" t="str">
        <f t="shared" si="27"/>
        <v>2024-01</v>
      </c>
      <c r="K277" s="2">
        <f t="shared" si="28"/>
        <v>4</v>
      </c>
      <c r="L277" s="2">
        <f ca="1">AVERAGE(OFFSET(USD_NGN_Historical_Data__17[[#This Row],[Rate]], -6, 0, 7, 1))</f>
        <v>886.76142857142872</v>
      </c>
      <c r="M277" s="2" t="str">
        <f t="shared" si="29"/>
        <v>Mon</v>
      </c>
    </row>
    <row r="278" spans="1:13" x14ac:dyDescent="0.35">
      <c r="A278" s="4">
        <v>45314</v>
      </c>
      <c r="B278" s="2">
        <v>913.56</v>
      </c>
      <c r="C278" s="2">
        <v>891.01</v>
      </c>
      <c r="D278" s="2">
        <v>914.56</v>
      </c>
      <c r="E278" s="2">
        <v>849.5</v>
      </c>
      <c r="F278" s="1">
        <v>2.6499999999999999E-2</v>
      </c>
      <c r="G278" s="2">
        <f t="shared" si="24"/>
        <v>2024</v>
      </c>
      <c r="H278" s="2" t="str">
        <f t="shared" si="25"/>
        <v>Jan</v>
      </c>
      <c r="I278" s="2">
        <f t="shared" si="26"/>
        <v>1</v>
      </c>
      <c r="J278" s="2" t="str">
        <f t="shared" si="27"/>
        <v>2024-01</v>
      </c>
      <c r="K278" s="2">
        <f t="shared" si="28"/>
        <v>4</v>
      </c>
      <c r="L278" s="2">
        <f ca="1">AVERAGE(OFFSET(USD_NGN_Historical_Data__17[[#This Row],[Rate]], -6, 0, 7, 1))</f>
        <v>880.5557142857142</v>
      </c>
      <c r="M278" s="2" t="str">
        <f t="shared" si="29"/>
        <v>Tue</v>
      </c>
    </row>
    <row r="279" spans="1:13" x14ac:dyDescent="0.35">
      <c r="A279" s="4">
        <v>45315</v>
      </c>
      <c r="B279" s="2">
        <v>899.27</v>
      </c>
      <c r="C279" s="2">
        <v>914.56</v>
      </c>
      <c r="D279" s="2">
        <v>914.56</v>
      </c>
      <c r="E279" s="2">
        <v>870.5</v>
      </c>
      <c r="F279" s="1">
        <v>-1.5599999999999999E-2</v>
      </c>
      <c r="G279" s="2">
        <f t="shared" si="24"/>
        <v>2024</v>
      </c>
      <c r="H279" s="2" t="str">
        <f t="shared" si="25"/>
        <v>Jan</v>
      </c>
      <c r="I279" s="2">
        <f t="shared" si="26"/>
        <v>1</v>
      </c>
      <c r="J279" s="2" t="str">
        <f t="shared" si="27"/>
        <v>2024-01</v>
      </c>
      <c r="K279" s="2">
        <f t="shared" si="28"/>
        <v>4</v>
      </c>
      <c r="L279" s="2">
        <f ca="1">AVERAGE(OFFSET(USD_NGN_Historical_Data__17[[#This Row],[Rate]], -6, 0, 7, 1))</f>
        <v>885.45285714285717</v>
      </c>
      <c r="M279" s="2" t="str">
        <f t="shared" si="29"/>
        <v>Wed</v>
      </c>
    </row>
    <row r="280" spans="1:13" x14ac:dyDescent="0.35">
      <c r="A280" s="4">
        <v>45316</v>
      </c>
      <c r="B280" s="2">
        <v>886.39</v>
      </c>
      <c r="C280" s="2">
        <v>900.27</v>
      </c>
      <c r="D280" s="2">
        <v>900.98</v>
      </c>
      <c r="E280" s="2">
        <v>887.39</v>
      </c>
      <c r="F280" s="1">
        <v>-1.43E-2</v>
      </c>
      <c r="G280" s="2">
        <f t="shared" si="24"/>
        <v>2024</v>
      </c>
      <c r="H280" s="2" t="str">
        <f t="shared" si="25"/>
        <v>Jan</v>
      </c>
      <c r="I280" s="2">
        <f t="shared" si="26"/>
        <v>1</v>
      </c>
      <c r="J280" s="2" t="str">
        <f t="shared" si="27"/>
        <v>2024-01</v>
      </c>
      <c r="K280" s="2">
        <f t="shared" si="28"/>
        <v>4</v>
      </c>
      <c r="L280" s="2">
        <f ca="1">AVERAGE(OFFSET(USD_NGN_Historical_Data__17[[#This Row],[Rate]], -6, 0, 7, 1))</f>
        <v>890.25571428571425</v>
      </c>
      <c r="M280" s="2" t="str">
        <f t="shared" si="29"/>
        <v>Thu</v>
      </c>
    </row>
    <row r="281" spans="1:13" x14ac:dyDescent="0.35">
      <c r="A281" s="4">
        <v>45317</v>
      </c>
      <c r="B281" s="2">
        <v>898.2</v>
      </c>
      <c r="C281" s="2">
        <v>887.39</v>
      </c>
      <c r="D281" s="2">
        <v>901.5</v>
      </c>
      <c r="E281" s="2">
        <v>887.39</v>
      </c>
      <c r="F281" s="1">
        <v>1.3299999999999999E-2</v>
      </c>
      <c r="G281" s="2">
        <f t="shared" si="24"/>
        <v>2024</v>
      </c>
      <c r="H281" s="2" t="str">
        <f t="shared" si="25"/>
        <v>Jan</v>
      </c>
      <c r="I281" s="2">
        <f t="shared" si="26"/>
        <v>1</v>
      </c>
      <c r="J281" s="2" t="str">
        <f t="shared" si="27"/>
        <v>2024-01</v>
      </c>
      <c r="K281" s="2">
        <f t="shared" si="28"/>
        <v>4</v>
      </c>
      <c r="L281" s="2">
        <f ca="1">AVERAGE(OFFSET(USD_NGN_Historical_Data__17[[#This Row],[Rate]], -6, 0, 7, 1))</f>
        <v>895.99857142857138</v>
      </c>
      <c r="M281" s="2" t="str">
        <f t="shared" si="29"/>
        <v>Fri</v>
      </c>
    </row>
    <row r="282" spans="1:13" x14ac:dyDescent="0.35">
      <c r="A282" s="4">
        <v>45320</v>
      </c>
      <c r="B282" s="2">
        <v>891.05</v>
      </c>
      <c r="C282" s="2">
        <v>899.2</v>
      </c>
      <c r="D282" s="2">
        <v>911</v>
      </c>
      <c r="E282" s="2">
        <v>892.05</v>
      </c>
      <c r="F282" s="1">
        <v>-8.0000000000000002E-3</v>
      </c>
      <c r="G282" s="2">
        <f t="shared" si="24"/>
        <v>2024</v>
      </c>
      <c r="H282" s="2" t="str">
        <f t="shared" si="25"/>
        <v>Jan</v>
      </c>
      <c r="I282" s="2">
        <f t="shared" si="26"/>
        <v>1</v>
      </c>
      <c r="J282" s="2" t="str">
        <f t="shared" si="27"/>
        <v>2024-01</v>
      </c>
      <c r="K282" s="2">
        <f t="shared" si="28"/>
        <v>5</v>
      </c>
      <c r="L282" s="2">
        <f ca="1">AVERAGE(OFFSET(USD_NGN_Historical_Data__17[[#This Row],[Rate]], -6, 0, 7, 1))</f>
        <v>895.50285714285712</v>
      </c>
      <c r="M282" s="2" t="str">
        <f t="shared" si="29"/>
        <v>Mon</v>
      </c>
    </row>
    <row r="283" spans="1:13" x14ac:dyDescent="0.35">
      <c r="A283" s="4">
        <v>45321</v>
      </c>
      <c r="B283" s="2">
        <v>1100</v>
      </c>
      <c r="C283" s="2">
        <v>892.05</v>
      </c>
      <c r="D283" s="2">
        <v>1250.75</v>
      </c>
      <c r="E283" s="2">
        <v>892.05</v>
      </c>
      <c r="F283" s="1">
        <v>0.23449999999999999</v>
      </c>
      <c r="G283" s="2">
        <f t="shared" si="24"/>
        <v>2024</v>
      </c>
      <c r="H283" s="2" t="str">
        <f t="shared" si="25"/>
        <v>Jan</v>
      </c>
      <c r="I283" s="2">
        <f t="shared" si="26"/>
        <v>1</v>
      </c>
      <c r="J283" s="2" t="str">
        <f t="shared" si="27"/>
        <v>2024-01</v>
      </c>
      <c r="K283" s="2">
        <f t="shared" si="28"/>
        <v>5</v>
      </c>
      <c r="L283" s="2">
        <f ca="1">AVERAGE(OFFSET(USD_NGN_Historical_Data__17[[#This Row],[Rate]], -6, 0, 7, 1))</f>
        <v>925.49714285714288</v>
      </c>
      <c r="M283" s="2" t="str">
        <f t="shared" si="29"/>
        <v>Tue</v>
      </c>
    </row>
    <row r="284" spans="1:13" x14ac:dyDescent="0.35">
      <c r="A284" s="4">
        <v>45322</v>
      </c>
      <c r="B284" s="2">
        <v>1191.94</v>
      </c>
      <c r="C284" s="2">
        <v>1100.5</v>
      </c>
      <c r="D284" s="2">
        <v>1192.94</v>
      </c>
      <c r="E284" s="2">
        <v>1100.5</v>
      </c>
      <c r="F284" s="1">
        <v>8.3599999999999994E-2</v>
      </c>
      <c r="G284" s="2">
        <f t="shared" si="24"/>
        <v>2024</v>
      </c>
      <c r="H284" s="2" t="str">
        <f t="shared" si="25"/>
        <v>Jan</v>
      </c>
      <c r="I284" s="2">
        <f t="shared" si="26"/>
        <v>1</v>
      </c>
      <c r="J284" s="2" t="str">
        <f t="shared" si="27"/>
        <v>2024-01</v>
      </c>
      <c r="K284" s="2">
        <f t="shared" si="28"/>
        <v>5</v>
      </c>
      <c r="L284" s="2">
        <f ca="1">AVERAGE(OFFSET(USD_NGN_Historical_Data__17[[#This Row],[Rate]], -6, 0, 7, 1))</f>
        <v>968.63</v>
      </c>
      <c r="M284" s="2" t="str">
        <f t="shared" si="29"/>
        <v>Wed</v>
      </c>
    </row>
    <row r="285" spans="1:13" x14ac:dyDescent="0.35">
      <c r="A285" s="4">
        <v>45323</v>
      </c>
      <c r="B285" s="2">
        <v>1356.38</v>
      </c>
      <c r="C285" s="2">
        <v>1192.94</v>
      </c>
      <c r="D285" s="2">
        <v>1358.7</v>
      </c>
      <c r="E285" s="2">
        <v>1100.5</v>
      </c>
      <c r="F285" s="1">
        <v>0.13800000000000001</v>
      </c>
      <c r="G285" s="2">
        <f t="shared" si="24"/>
        <v>2024</v>
      </c>
      <c r="H285" s="2" t="str">
        <f t="shared" si="25"/>
        <v>Feb</v>
      </c>
      <c r="I285" s="2">
        <f t="shared" si="26"/>
        <v>2</v>
      </c>
      <c r="J285" s="2" t="str">
        <f t="shared" si="27"/>
        <v>2024-02</v>
      </c>
      <c r="K285" s="2">
        <f t="shared" si="28"/>
        <v>5</v>
      </c>
      <c r="L285" s="2">
        <f ca="1">AVERAGE(OFFSET(USD_NGN_Historical_Data__17[[#This Row],[Rate]], -6, 0, 7, 1))</f>
        <v>1031.8900000000001</v>
      </c>
      <c r="M285" s="2" t="str">
        <f t="shared" si="29"/>
        <v>Thu</v>
      </c>
    </row>
    <row r="286" spans="1:13" x14ac:dyDescent="0.35">
      <c r="A286" s="4">
        <v>45324</v>
      </c>
      <c r="B286" s="2">
        <v>1413.12</v>
      </c>
      <c r="C286" s="2">
        <v>1357.38</v>
      </c>
      <c r="D286" s="2">
        <v>1414.12</v>
      </c>
      <c r="E286" s="2">
        <v>950.5</v>
      </c>
      <c r="F286" s="1">
        <v>4.1799999999999997E-2</v>
      </c>
      <c r="G286" s="2">
        <f t="shared" si="24"/>
        <v>2024</v>
      </c>
      <c r="H286" s="2" t="str">
        <f t="shared" si="25"/>
        <v>Feb</v>
      </c>
      <c r="I286" s="2">
        <f t="shared" si="26"/>
        <v>2</v>
      </c>
      <c r="J286" s="2" t="str">
        <f t="shared" si="27"/>
        <v>2024-02</v>
      </c>
      <c r="K286" s="2">
        <f t="shared" si="28"/>
        <v>5</v>
      </c>
      <c r="L286" s="2">
        <f ca="1">AVERAGE(OFFSET(USD_NGN_Historical_Data__17[[#This Row],[Rate]], -6, 0, 7, 1))</f>
        <v>1105.2971428571429</v>
      </c>
      <c r="M286" s="2" t="str">
        <f t="shared" si="29"/>
        <v>Fri</v>
      </c>
    </row>
    <row r="287" spans="1:13" x14ac:dyDescent="0.35">
      <c r="A287" s="4">
        <v>45327</v>
      </c>
      <c r="B287" s="2">
        <v>1420.02</v>
      </c>
      <c r="C287" s="2">
        <v>1414.12</v>
      </c>
      <c r="D287" s="2">
        <v>1421.02</v>
      </c>
      <c r="E287" s="2">
        <v>1100.5</v>
      </c>
      <c r="F287" s="1">
        <v>4.8999999999999998E-3</v>
      </c>
      <c r="G287" s="2">
        <f t="shared" si="24"/>
        <v>2024</v>
      </c>
      <c r="H287" s="2" t="str">
        <f t="shared" si="25"/>
        <v>Feb</v>
      </c>
      <c r="I287" s="2">
        <f t="shared" si="26"/>
        <v>2</v>
      </c>
      <c r="J287" s="2" t="str">
        <f t="shared" si="27"/>
        <v>2024-02</v>
      </c>
      <c r="K287" s="2">
        <f t="shared" si="28"/>
        <v>6</v>
      </c>
      <c r="L287" s="2">
        <f ca="1">AVERAGE(OFFSET(USD_NGN_Historical_Data__17[[#This Row],[Rate]], -6, 0, 7, 1))</f>
        <v>1181.53</v>
      </c>
      <c r="M287" s="2" t="str">
        <f t="shared" si="29"/>
        <v>Mon</v>
      </c>
    </row>
    <row r="288" spans="1:13" x14ac:dyDescent="0.35">
      <c r="A288" s="4">
        <v>45328</v>
      </c>
      <c r="B288" s="2">
        <v>1407</v>
      </c>
      <c r="C288" s="2">
        <v>1421.02</v>
      </c>
      <c r="D288" s="2">
        <v>1421.02</v>
      </c>
      <c r="E288" s="2">
        <v>1250.5</v>
      </c>
      <c r="F288" s="1">
        <v>-9.1999999999999998E-3</v>
      </c>
      <c r="G288" s="2">
        <f t="shared" si="24"/>
        <v>2024</v>
      </c>
      <c r="H288" s="2" t="str">
        <f t="shared" si="25"/>
        <v>Feb</v>
      </c>
      <c r="I288" s="2">
        <f t="shared" si="26"/>
        <v>2</v>
      </c>
      <c r="J288" s="2" t="str">
        <f t="shared" si="27"/>
        <v>2024-02</v>
      </c>
      <c r="K288" s="2">
        <f t="shared" si="28"/>
        <v>6</v>
      </c>
      <c r="L288" s="2">
        <f ca="1">AVERAGE(OFFSET(USD_NGN_Historical_Data__17[[#This Row],[Rate]], -6, 0, 7, 1))</f>
        <v>1254.2157142857143</v>
      </c>
      <c r="M288" s="2" t="str">
        <f t="shared" si="29"/>
        <v>Tue</v>
      </c>
    </row>
    <row r="289" spans="1:13" x14ac:dyDescent="0.35">
      <c r="A289" s="4">
        <v>45329</v>
      </c>
      <c r="B289" s="2">
        <v>1417.13</v>
      </c>
      <c r="C289" s="2">
        <v>1408</v>
      </c>
      <c r="D289" s="2">
        <v>1418.13</v>
      </c>
      <c r="E289" s="2">
        <v>1408</v>
      </c>
      <c r="F289" s="1">
        <v>7.1999999999999998E-3</v>
      </c>
      <c r="G289" s="2">
        <f t="shared" si="24"/>
        <v>2024</v>
      </c>
      <c r="H289" s="2" t="str">
        <f t="shared" si="25"/>
        <v>Feb</v>
      </c>
      <c r="I289" s="2">
        <f t="shared" si="26"/>
        <v>2</v>
      </c>
      <c r="J289" s="2" t="str">
        <f t="shared" si="27"/>
        <v>2024-02</v>
      </c>
      <c r="K289" s="2">
        <f t="shared" si="28"/>
        <v>6</v>
      </c>
      <c r="L289" s="2">
        <f ca="1">AVERAGE(OFFSET(USD_NGN_Historical_Data__17[[#This Row],[Rate]], -6, 0, 7, 1))</f>
        <v>1329.3700000000001</v>
      </c>
      <c r="M289" s="2" t="str">
        <f t="shared" si="29"/>
        <v>Wed</v>
      </c>
    </row>
    <row r="290" spans="1:13" x14ac:dyDescent="0.35">
      <c r="A290" s="4">
        <v>45330</v>
      </c>
      <c r="B290" s="2">
        <v>1444.06</v>
      </c>
      <c r="C290" s="2">
        <v>1418.13</v>
      </c>
      <c r="D290" s="2">
        <v>1445.06</v>
      </c>
      <c r="E290" s="2">
        <v>1250.5</v>
      </c>
      <c r="F290" s="1">
        <v>1.9E-2</v>
      </c>
      <c r="G290" s="2">
        <f t="shared" si="24"/>
        <v>2024</v>
      </c>
      <c r="H290" s="2" t="str">
        <f t="shared" si="25"/>
        <v>Feb</v>
      </c>
      <c r="I290" s="2">
        <f t="shared" si="26"/>
        <v>2</v>
      </c>
      <c r="J290" s="2" t="str">
        <f t="shared" si="27"/>
        <v>2024-02</v>
      </c>
      <c r="K290" s="2">
        <f t="shared" si="28"/>
        <v>6</v>
      </c>
      <c r="L290" s="2">
        <f ca="1">AVERAGE(OFFSET(USD_NGN_Historical_Data__17[[#This Row],[Rate]], -6, 0, 7, 1))</f>
        <v>1378.5214285714285</v>
      </c>
      <c r="M290" s="2" t="str">
        <f t="shared" si="29"/>
        <v>Thu</v>
      </c>
    </row>
    <row r="291" spans="1:13" x14ac:dyDescent="0.35">
      <c r="A291" s="4">
        <v>45331</v>
      </c>
      <c r="B291" s="2">
        <v>1473.62</v>
      </c>
      <c r="C291" s="2">
        <v>1445.06</v>
      </c>
      <c r="D291" s="2">
        <v>1474.62</v>
      </c>
      <c r="E291" s="2">
        <v>1250.5</v>
      </c>
      <c r="F291" s="1">
        <v>2.0500000000000001E-2</v>
      </c>
      <c r="G291" s="2">
        <f t="shared" si="24"/>
        <v>2024</v>
      </c>
      <c r="H291" s="2" t="str">
        <f t="shared" si="25"/>
        <v>Feb</v>
      </c>
      <c r="I291" s="2">
        <f t="shared" si="26"/>
        <v>2</v>
      </c>
      <c r="J291" s="2" t="str">
        <f t="shared" si="27"/>
        <v>2024-02</v>
      </c>
      <c r="K291" s="2">
        <f t="shared" si="28"/>
        <v>6</v>
      </c>
      <c r="L291" s="2">
        <f ca="1">AVERAGE(OFFSET(USD_NGN_Historical_Data__17[[#This Row],[Rate]], -6, 0, 7, 1))</f>
        <v>1418.7614285714287</v>
      </c>
      <c r="M291" s="2" t="str">
        <f t="shared" si="29"/>
        <v>Fri</v>
      </c>
    </row>
    <row r="292" spans="1:13" x14ac:dyDescent="0.35">
      <c r="A292" s="4">
        <v>45334</v>
      </c>
      <c r="B292" s="2">
        <v>1500</v>
      </c>
      <c r="C292" s="2">
        <v>1474.62</v>
      </c>
      <c r="D292" s="2">
        <v>1503.75</v>
      </c>
      <c r="E292" s="2">
        <v>1250.75</v>
      </c>
      <c r="F292" s="1">
        <v>1.7899999999999999E-2</v>
      </c>
      <c r="G292" s="2">
        <f t="shared" si="24"/>
        <v>2024</v>
      </c>
      <c r="H292" s="2" t="str">
        <f t="shared" si="25"/>
        <v>Feb</v>
      </c>
      <c r="I292" s="2">
        <f t="shared" si="26"/>
        <v>2</v>
      </c>
      <c r="J292" s="2" t="str">
        <f t="shared" si="27"/>
        <v>2024-02</v>
      </c>
      <c r="K292" s="2">
        <f t="shared" si="28"/>
        <v>7</v>
      </c>
      <c r="L292" s="2">
        <f ca="1">AVERAGE(OFFSET(USD_NGN_Historical_Data__17[[#This Row],[Rate]], -6, 0, 7, 1))</f>
        <v>1439.2785714285715</v>
      </c>
      <c r="M292" s="2" t="str">
        <f t="shared" si="29"/>
        <v>Mon</v>
      </c>
    </row>
    <row r="293" spans="1:13" x14ac:dyDescent="0.35">
      <c r="A293" s="4">
        <v>45335</v>
      </c>
      <c r="B293" s="2">
        <v>1514.59</v>
      </c>
      <c r="C293" s="2">
        <v>1481.98</v>
      </c>
      <c r="D293" s="2">
        <v>1517.2950000000001</v>
      </c>
      <c r="E293" s="2">
        <v>1449.5</v>
      </c>
      <c r="F293" s="1">
        <v>9.7000000000000003E-3</v>
      </c>
      <c r="G293" s="2">
        <f t="shared" si="24"/>
        <v>2024</v>
      </c>
      <c r="H293" s="2" t="str">
        <f t="shared" si="25"/>
        <v>Feb</v>
      </c>
      <c r="I293" s="2">
        <f t="shared" si="26"/>
        <v>2</v>
      </c>
      <c r="J293" s="2" t="str">
        <f t="shared" si="27"/>
        <v>2024-02</v>
      </c>
      <c r="K293" s="2">
        <f t="shared" si="28"/>
        <v>7</v>
      </c>
      <c r="L293" s="2">
        <f ca="1">AVERAGE(OFFSET(USD_NGN_Historical_Data__17[[#This Row],[Rate]], -6, 0, 7, 1))</f>
        <v>1453.7742857142855</v>
      </c>
      <c r="M293" s="2" t="str">
        <f t="shared" si="29"/>
        <v>Tue</v>
      </c>
    </row>
    <row r="294" spans="1:13" x14ac:dyDescent="0.35">
      <c r="A294" s="4">
        <v>45336</v>
      </c>
      <c r="B294" s="2">
        <v>1514.59</v>
      </c>
      <c r="C294" s="2">
        <v>1515.59</v>
      </c>
      <c r="D294" s="2">
        <v>1516.7950000000001</v>
      </c>
      <c r="E294" s="2">
        <v>1449.5</v>
      </c>
      <c r="F294" s="1">
        <v>0</v>
      </c>
      <c r="G294" s="2">
        <f t="shared" si="24"/>
        <v>2024</v>
      </c>
      <c r="H294" s="2" t="str">
        <f t="shared" si="25"/>
        <v>Feb</v>
      </c>
      <c r="I294" s="2">
        <f t="shared" si="26"/>
        <v>2</v>
      </c>
      <c r="J294" s="2" t="str">
        <f t="shared" si="27"/>
        <v>2024-02</v>
      </c>
      <c r="K294" s="2">
        <f t="shared" si="28"/>
        <v>7</v>
      </c>
      <c r="L294" s="2">
        <f ca="1">AVERAGE(OFFSET(USD_NGN_Historical_Data__17[[#This Row],[Rate]], -6, 0, 7, 1))</f>
        <v>1467.2842857142857</v>
      </c>
      <c r="M294" s="2" t="str">
        <f t="shared" si="29"/>
        <v>Wed</v>
      </c>
    </row>
    <row r="295" spans="1:13" x14ac:dyDescent="0.35">
      <c r="A295" s="4">
        <v>45337</v>
      </c>
      <c r="B295" s="2">
        <v>1516.2</v>
      </c>
      <c r="C295" s="2">
        <v>1515.59</v>
      </c>
      <c r="D295" s="2">
        <v>1518.6</v>
      </c>
      <c r="E295" s="2">
        <v>1449.5</v>
      </c>
      <c r="F295" s="1">
        <v>1.1000000000000001E-3</v>
      </c>
      <c r="G295" s="2">
        <f t="shared" si="24"/>
        <v>2024</v>
      </c>
      <c r="H295" s="2" t="str">
        <f t="shared" si="25"/>
        <v>Feb</v>
      </c>
      <c r="I295" s="2">
        <f t="shared" si="26"/>
        <v>2</v>
      </c>
      <c r="J295" s="2" t="str">
        <f t="shared" si="27"/>
        <v>2024-02</v>
      </c>
      <c r="K295" s="2">
        <f t="shared" si="28"/>
        <v>7</v>
      </c>
      <c r="L295" s="2">
        <f ca="1">AVERAGE(OFFSET(USD_NGN_Historical_Data__17[[#This Row],[Rate]], -6, 0, 7, 1))</f>
        <v>1482.8842857142859</v>
      </c>
      <c r="M295" s="2" t="str">
        <f t="shared" si="29"/>
        <v>Thu</v>
      </c>
    </row>
    <row r="296" spans="1:13" x14ac:dyDescent="0.35">
      <c r="A296" s="4">
        <v>45338</v>
      </c>
      <c r="B296" s="2">
        <v>1492.73</v>
      </c>
      <c r="C296" s="2">
        <v>1517.2</v>
      </c>
      <c r="D296" s="2">
        <v>1530.75</v>
      </c>
      <c r="E296" s="2">
        <v>1493.365</v>
      </c>
      <c r="F296" s="1">
        <v>-1.55E-2</v>
      </c>
      <c r="G296" s="2">
        <f t="shared" si="24"/>
        <v>2024</v>
      </c>
      <c r="H296" s="2" t="str">
        <f t="shared" si="25"/>
        <v>Feb</v>
      </c>
      <c r="I296" s="2">
        <f t="shared" si="26"/>
        <v>2</v>
      </c>
      <c r="J296" s="2" t="str">
        <f t="shared" si="27"/>
        <v>2024-02</v>
      </c>
      <c r="K296" s="2">
        <f t="shared" si="28"/>
        <v>7</v>
      </c>
      <c r="L296" s="2">
        <f ca="1">AVERAGE(OFFSET(USD_NGN_Historical_Data__17[[#This Row],[Rate]], -6, 0, 7, 1))</f>
        <v>1493.6842857142858</v>
      </c>
      <c r="M296" s="2" t="str">
        <f t="shared" si="29"/>
        <v>Fri</v>
      </c>
    </row>
    <row r="297" spans="1:13" x14ac:dyDescent="0.35">
      <c r="A297" s="4">
        <v>45341</v>
      </c>
      <c r="B297" s="2">
        <v>1492.73</v>
      </c>
      <c r="C297" s="2">
        <v>1493.73</v>
      </c>
      <c r="D297" s="2">
        <v>1531</v>
      </c>
      <c r="E297" s="2">
        <v>1250.75</v>
      </c>
      <c r="F297" s="1">
        <v>0</v>
      </c>
      <c r="G297" s="2">
        <f t="shared" si="24"/>
        <v>2024</v>
      </c>
      <c r="H297" s="2" t="str">
        <f t="shared" si="25"/>
        <v>Feb</v>
      </c>
      <c r="I297" s="2">
        <f t="shared" si="26"/>
        <v>2</v>
      </c>
      <c r="J297" s="2" t="str">
        <f t="shared" si="27"/>
        <v>2024-02</v>
      </c>
      <c r="K297" s="2">
        <f t="shared" si="28"/>
        <v>8</v>
      </c>
      <c r="L297" s="2">
        <f ca="1">AVERAGE(OFFSET(USD_NGN_Historical_Data__17[[#This Row],[Rate]], -6, 0, 7, 1))</f>
        <v>1500.6371428571426</v>
      </c>
      <c r="M297" s="2" t="str">
        <f t="shared" si="29"/>
        <v>Mon</v>
      </c>
    </row>
    <row r="298" spans="1:13" x14ac:dyDescent="0.35">
      <c r="A298" s="4">
        <v>45342</v>
      </c>
      <c r="B298" s="2">
        <v>1605</v>
      </c>
      <c r="C298" s="2">
        <v>1493.73</v>
      </c>
      <c r="D298" s="2">
        <v>1607.65</v>
      </c>
      <c r="E298" s="2">
        <v>1490.5</v>
      </c>
      <c r="F298" s="1">
        <v>7.5200000000000003E-2</v>
      </c>
      <c r="G298" s="2">
        <f t="shared" si="24"/>
        <v>2024</v>
      </c>
      <c r="H298" s="2" t="str">
        <f t="shared" si="25"/>
        <v>Feb</v>
      </c>
      <c r="I298" s="2">
        <f t="shared" si="26"/>
        <v>2</v>
      </c>
      <c r="J298" s="2" t="str">
        <f t="shared" si="27"/>
        <v>2024-02</v>
      </c>
      <c r="K298" s="2">
        <f t="shared" si="28"/>
        <v>8</v>
      </c>
      <c r="L298" s="2">
        <f ca="1">AVERAGE(OFFSET(USD_NGN_Historical_Data__17[[#This Row],[Rate]], -6, 0, 7, 1))</f>
        <v>1519.4057142857143</v>
      </c>
      <c r="M298" s="2" t="str">
        <f t="shared" si="29"/>
        <v>Tue</v>
      </c>
    </row>
    <row r="299" spans="1:13" x14ac:dyDescent="0.35">
      <c r="A299" s="4">
        <v>45343</v>
      </c>
      <c r="B299" s="2">
        <v>1605</v>
      </c>
      <c r="C299" s="2">
        <v>1606.3</v>
      </c>
      <c r="D299" s="2">
        <v>1680.75</v>
      </c>
      <c r="E299" s="2">
        <v>1420.5</v>
      </c>
      <c r="F299" s="1">
        <v>0</v>
      </c>
      <c r="G299" s="2">
        <f t="shared" si="24"/>
        <v>2024</v>
      </c>
      <c r="H299" s="2" t="str">
        <f t="shared" si="25"/>
        <v>Feb</v>
      </c>
      <c r="I299" s="2">
        <f t="shared" si="26"/>
        <v>2</v>
      </c>
      <c r="J299" s="2" t="str">
        <f t="shared" si="27"/>
        <v>2024-02</v>
      </c>
      <c r="K299" s="2">
        <f t="shared" si="28"/>
        <v>8</v>
      </c>
      <c r="L299" s="2">
        <f ca="1">AVERAGE(OFFSET(USD_NGN_Historical_Data__17[[#This Row],[Rate]], -6, 0, 7, 1))</f>
        <v>1534.4057142857143</v>
      </c>
      <c r="M299" s="2" t="str">
        <f t="shared" si="29"/>
        <v>Wed</v>
      </c>
    </row>
    <row r="300" spans="1:13" x14ac:dyDescent="0.35">
      <c r="A300" s="4">
        <v>45344</v>
      </c>
      <c r="B300" s="2">
        <v>1488.4</v>
      </c>
      <c r="C300" s="2">
        <v>1606.32</v>
      </c>
      <c r="D300" s="2">
        <v>1607.16</v>
      </c>
      <c r="E300" s="2">
        <v>1489.4</v>
      </c>
      <c r="F300" s="1">
        <v>-7.2599999999999998E-2</v>
      </c>
      <c r="G300" s="2">
        <f t="shared" si="24"/>
        <v>2024</v>
      </c>
      <c r="H300" s="2" t="str">
        <f t="shared" si="25"/>
        <v>Feb</v>
      </c>
      <c r="I300" s="2">
        <f t="shared" si="26"/>
        <v>2</v>
      </c>
      <c r="J300" s="2" t="str">
        <f t="shared" si="27"/>
        <v>2024-02</v>
      </c>
      <c r="K300" s="2">
        <f t="shared" si="28"/>
        <v>8</v>
      </c>
      <c r="L300" s="2">
        <f ca="1">AVERAGE(OFFSET(USD_NGN_Historical_Data__17[[#This Row],[Rate]], -6, 0, 7, 1))</f>
        <v>1530.6642857142856</v>
      </c>
      <c r="M300" s="2" t="str">
        <f t="shared" si="29"/>
        <v>Thu</v>
      </c>
    </row>
    <row r="301" spans="1:13" x14ac:dyDescent="0.35">
      <c r="A301" s="4">
        <v>45345</v>
      </c>
      <c r="B301" s="2">
        <v>1488.4</v>
      </c>
      <c r="C301" s="2">
        <v>1489.4</v>
      </c>
      <c r="D301" s="2">
        <v>1607</v>
      </c>
      <c r="E301" s="2">
        <v>1470.5</v>
      </c>
      <c r="F301" s="1">
        <v>0</v>
      </c>
      <c r="G301" s="2">
        <f t="shared" si="24"/>
        <v>2024</v>
      </c>
      <c r="H301" s="2" t="str">
        <f t="shared" si="25"/>
        <v>Feb</v>
      </c>
      <c r="I301" s="2">
        <f t="shared" si="26"/>
        <v>2</v>
      </c>
      <c r="J301" s="2" t="str">
        <f t="shared" si="27"/>
        <v>2024-02</v>
      </c>
      <c r="K301" s="2">
        <f t="shared" si="28"/>
        <v>8</v>
      </c>
      <c r="L301" s="2">
        <f ca="1">AVERAGE(OFFSET(USD_NGN_Historical_Data__17[[#This Row],[Rate]], -6, 0, 7, 1))</f>
        <v>1526.9228571428571</v>
      </c>
      <c r="M301" s="2" t="str">
        <f t="shared" si="29"/>
        <v>Fri</v>
      </c>
    </row>
    <row r="302" spans="1:13" x14ac:dyDescent="0.35">
      <c r="A302" s="4">
        <v>45348</v>
      </c>
      <c r="B302" s="2">
        <v>1505.85</v>
      </c>
      <c r="C302" s="2">
        <v>1489.4</v>
      </c>
      <c r="D302" s="2">
        <v>1560.5</v>
      </c>
      <c r="E302" s="2">
        <v>1489.4</v>
      </c>
      <c r="F302" s="1">
        <v>1.17E-2</v>
      </c>
      <c r="G302" s="2">
        <f t="shared" si="24"/>
        <v>2024</v>
      </c>
      <c r="H302" s="2" t="str">
        <f t="shared" si="25"/>
        <v>Feb</v>
      </c>
      <c r="I302" s="2">
        <f t="shared" si="26"/>
        <v>2</v>
      </c>
      <c r="J302" s="2" t="str">
        <f t="shared" si="27"/>
        <v>2024-02</v>
      </c>
      <c r="K302" s="2">
        <f t="shared" si="28"/>
        <v>9</v>
      </c>
      <c r="L302" s="2">
        <f ca="1">AVERAGE(OFFSET(USD_NGN_Historical_Data__17[[#This Row],[Rate]], -6, 0, 7, 1))</f>
        <v>1525.4442857142858</v>
      </c>
      <c r="M302" s="2" t="str">
        <f t="shared" si="29"/>
        <v>Mon</v>
      </c>
    </row>
    <row r="303" spans="1:13" x14ac:dyDescent="0.35">
      <c r="A303" s="4">
        <v>45349</v>
      </c>
      <c r="B303" s="2">
        <v>1578.08</v>
      </c>
      <c r="C303" s="2">
        <v>1506.85</v>
      </c>
      <c r="D303" s="2">
        <v>1662.85</v>
      </c>
      <c r="E303" s="2">
        <v>1506.425</v>
      </c>
      <c r="F303" s="1">
        <v>4.8000000000000001E-2</v>
      </c>
      <c r="G303" s="2">
        <f t="shared" si="24"/>
        <v>2024</v>
      </c>
      <c r="H303" s="2" t="str">
        <f t="shared" si="25"/>
        <v>Feb</v>
      </c>
      <c r="I303" s="2">
        <f t="shared" si="26"/>
        <v>2</v>
      </c>
      <c r="J303" s="2" t="str">
        <f t="shared" si="27"/>
        <v>2024-02</v>
      </c>
      <c r="K303" s="2">
        <f t="shared" si="28"/>
        <v>9</v>
      </c>
      <c r="L303" s="2">
        <f ca="1">AVERAGE(OFFSET(USD_NGN_Historical_Data__17[[#This Row],[Rate]], -6, 0, 7, 1))</f>
        <v>1537.6371428571426</v>
      </c>
      <c r="M303" s="2" t="str">
        <f t="shared" si="29"/>
        <v>Tue</v>
      </c>
    </row>
    <row r="304" spans="1:13" x14ac:dyDescent="0.35">
      <c r="A304" s="4">
        <v>45350</v>
      </c>
      <c r="B304" s="2">
        <v>1629.66</v>
      </c>
      <c r="C304" s="2">
        <v>1579.08</v>
      </c>
      <c r="D304" s="2">
        <v>1630.66</v>
      </c>
      <c r="E304" s="2">
        <v>1507.5</v>
      </c>
      <c r="F304" s="1">
        <v>3.27E-2</v>
      </c>
      <c r="G304" s="2">
        <f t="shared" si="24"/>
        <v>2024</v>
      </c>
      <c r="H304" s="2" t="str">
        <f t="shared" si="25"/>
        <v>Feb</v>
      </c>
      <c r="I304" s="2">
        <f t="shared" si="26"/>
        <v>2</v>
      </c>
      <c r="J304" s="2" t="str">
        <f t="shared" si="27"/>
        <v>2024-02</v>
      </c>
      <c r="K304" s="2">
        <f t="shared" si="28"/>
        <v>9</v>
      </c>
      <c r="L304" s="2">
        <f ca="1">AVERAGE(OFFSET(USD_NGN_Historical_Data__17[[#This Row],[Rate]], -6, 0, 7, 1))</f>
        <v>1557.1985714285713</v>
      </c>
      <c r="M304" s="2" t="str">
        <f t="shared" si="29"/>
        <v>Wed</v>
      </c>
    </row>
    <row r="305" spans="1:13" x14ac:dyDescent="0.35">
      <c r="A305" s="4">
        <v>45351</v>
      </c>
      <c r="B305" s="2">
        <v>1616.55</v>
      </c>
      <c r="C305" s="2">
        <v>1630.66</v>
      </c>
      <c r="D305" s="2">
        <v>1630.66</v>
      </c>
      <c r="E305" s="2">
        <v>1300.5</v>
      </c>
      <c r="F305" s="1">
        <v>-8.0000000000000002E-3</v>
      </c>
      <c r="G305" s="2">
        <f t="shared" si="24"/>
        <v>2024</v>
      </c>
      <c r="H305" s="2" t="str">
        <f t="shared" si="25"/>
        <v>Feb</v>
      </c>
      <c r="I305" s="2">
        <f t="shared" si="26"/>
        <v>2</v>
      </c>
      <c r="J305" s="2" t="str">
        <f t="shared" si="27"/>
        <v>2024-02</v>
      </c>
      <c r="K305" s="2">
        <f t="shared" si="28"/>
        <v>9</v>
      </c>
      <c r="L305" s="2">
        <f ca="1">AVERAGE(OFFSET(USD_NGN_Historical_Data__17[[#This Row],[Rate]], -6, 0, 7, 1))</f>
        <v>1558.8485714285712</v>
      </c>
      <c r="M305" s="2" t="str">
        <f t="shared" si="29"/>
        <v>Thu</v>
      </c>
    </row>
    <row r="306" spans="1:13" x14ac:dyDescent="0.35">
      <c r="A306" s="4">
        <v>45352</v>
      </c>
      <c r="B306" s="2">
        <v>1545</v>
      </c>
      <c r="C306" s="2">
        <v>1617.55</v>
      </c>
      <c r="D306" s="2">
        <v>1617.55</v>
      </c>
      <c r="E306" s="2">
        <v>1300.5</v>
      </c>
      <c r="F306" s="1">
        <v>-4.4299999999999999E-2</v>
      </c>
      <c r="G306" s="2">
        <f t="shared" si="24"/>
        <v>2024</v>
      </c>
      <c r="H306" s="2" t="str">
        <f t="shared" si="25"/>
        <v>Mar</v>
      </c>
      <c r="I306" s="2">
        <f t="shared" si="26"/>
        <v>3</v>
      </c>
      <c r="J306" s="2" t="str">
        <f t="shared" si="27"/>
        <v>2024-03</v>
      </c>
      <c r="K306" s="2">
        <f t="shared" si="28"/>
        <v>9</v>
      </c>
      <c r="L306" s="2">
        <f ca="1">AVERAGE(OFFSET(USD_NGN_Historical_Data__17[[#This Row],[Rate]], -6, 0, 7, 1))</f>
        <v>1550.2771428571427</v>
      </c>
      <c r="M306" s="2" t="str">
        <f t="shared" si="29"/>
        <v>Fri</v>
      </c>
    </row>
    <row r="307" spans="1:13" x14ac:dyDescent="0.35">
      <c r="A307" s="4">
        <v>45355</v>
      </c>
      <c r="B307" s="2">
        <v>1543.58</v>
      </c>
      <c r="C307" s="2">
        <v>1544.58</v>
      </c>
      <c r="D307" s="2">
        <v>1544.58</v>
      </c>
      <c r="E307" s="2">
        <v>1380.5</v>
      </c>
      <c r="F307" s="1">
        <v>-8.9999999999999998E-4</v>
      </c>
      <c r="G307" s="2">
        <f t="shared" si="24"/>
        <v>2024</v>
      </c>
      <c r="H307" s="2" t="str">
        <f t="shared" si="25"/>
        <v>Mar</v>
      </c>
      <c r="I307" s="2">
        <f t="shared" si="26"/>
        <v>3</v>
      </c>
      <c r="J307" s="2" t="str">
        <f t="shared" si="27"/>
        <v>2024-03</v>
      </c>
      <c r="K307" s="2">
        <f t="shared" si="28"/>
        <v>10</v>
      </c>
      <c r="L307" s="2">
        <f ca="1">AVERAGE(OFFSET(USD_NGN_Historical_Data__17[[#This Row],[Rate]], -6, 0, 7, 1))</f>
        <v>1558.16</v>
      </c>
      <c r="M307" s="2" t="str">
        <f t="shared" si="29"/>
        <v>Mon</v>
      </c>
    </row>
    <row r="308" spans="1:13" x14ac:dyDescent="0.35">
      <c r="A308" s="4">
        <v>45356</v>
      </c>
      <c r="B308" s="2">
        <v>1560.01</v>
      </c>
      <c r="C308" s="2">
        <v>1544.58</v>
      </c>
      <c r="D308" s="2">
        <v>1561.01</v>
      </c>
      <c r="E308" s="2">
        <v>1500.5</v>
      </c>
      <c r="F308" s="1">
        <v>1.06E-2</v>
      </c>
      <c r="G308" s="2">
        <f t="shared" si="24"/>
        <v>2024</v>
      </c>
      <c r="H308" s="2" t="str">
        <f t="shared" si="25"/>
        <v>Mar</v>
      </c>
      <c r="I308" s="2">
        <f t="shared" si="26"/>
        <v>3</v>
      </c>
      <c r="J308" s="2" t="str">
        <f t="shared" si="27"/>
        <v>2024-03</v>
      </c>
      <c r="K308" s="2">
        <f t="shared" si="28"/>
        <v>10</v>
      </c>
      <c r="L308" s="2">
        <f ca="1">AVERAGE(OFFSET(USD_NGN_Historical_Data__17[[#This Row],[Rate]], -6, 0, 7, 1))</f>
        <v>1568.39</v>
      </c>
      <c r="M308" s="2" t="str">
        <f t="shared" si="29"/>
        <v>Tue</v>
      </c>
    </row>
    <row r="309" spans="1:13" x14ac:dyDescent="0.35">
      <c r="A309" s="4">
        <v>45357</v>
      </c>
      <c r="B309" s="2">
        <v>1590.17</v>
      </c>
      <c r="C309" s="2">
        <v>1561.01</v>
      </c>
      <c r="D309" s="2">
        <v>1592.585</v>
      </c>
      <c r="E309" s="2">
        <v>1560.5</v>
      </c>
      <c r="F309" s="1">
        <v>1.9300000000000001E-2</v>
      </c>
      <c r="G309" s="2">
        <f t="shared" si="24"/>
        <v>2024</v>
      </c>
      <c r="H309" s="2" t="str">
        <f t="shared" si="25"/>
        <v>Mar</v>
      </c>
      <c r="I309" s="2">
        <f t="shared" si="26"/>
        <v>3</v>
      </c>
      <c r="J309" s="2" t="str">
        <f t="shared" si="27"/>
        <v>2024-03</v>
      </c>
      <c r="K309" s="2">
        <f t="shared" si="28"/>
        <v>10</v>
      </c>
      <c r="L309" s="2">
        <f ca="1">AVERAGE(OFFSET(USD_NGN_Historical_Data__17[[#This Row],[Rate]], -6, 0, 7, 1))</f>
        <v>1580.4357142857141</v>
      </c>
      <c r="M309" s="2" t="str">
        <f t="shared" si="29"/>
        <v>Wed</v>
      </c>
    </row>
    <row r="310" spans="1:13" x14ac:dyDescent="0.35">
      <c r="A310" s="4">
        <v>45358</v>
      </c>
      <c r="B310" s="2">
        <v>1589.14</v>
      </c>
      <c r="C310" s="2">
        <v>1591.17</v>
      </c>
      <c r="D310" s="2">
        <v>1595.5</v>
      </c>
      <c r="E310" s="2">
        <v>1580.25</v>
      </c>
      <c r="F310" s="1">
        <v>-5.9999999999999995E-4</v>
      </c>
      <c r="G310" s="2">
        <f t="shared" si="24"/>
        <v>2024</v>
      </c>
      <c r="H310" s="2" t="str">
        <f t="shared" si="25"/>
        <v>Mar</v>
      </c>
      <c r="I310" s="2">
        <f t="shared" si="26"/>
        <v>3</v>
      </c>
      <c r="J310" s="2" t="str">
        <f t="shared" si="27"/>
        <v>2024-03</v>
      </c>
      <c r="K310" s="2">
        <f t="shared" si="28"/>
        <v>10</v>
      </c>
      <c r="L310" s="2">
        <f ca="1">AVERAGE(OFFSET(USD_NGN_Historical_Data__17[[#This Row],[Rate]], -6, 0, 7, 1))</f>
        <v>1582.0157142857145</v>
      </c>
      <c r="M310" s="2" t="str">
        <f t="shared" si="29"/>
        <v>Thu</v>
      </c>
    </row>
    <row r="311" spans="1:13" x14ac:dyDescent="0.35">
      <c r="A311" s="4">
        <v>45359</v>
      </c>
      <c r="B311" s="2">
        <v>1593.34</v>
      </c>
      <c r="C311" s="2">
        <v>1590.14</v>
      </c>
      <c r="D311" s="2">
        <v>1594.34</v>
      </c>
      <c r="E311" s="2">
        <v>1505.5</v>
      </c>
      <c r="F311" s="1">
        <v>2.5999999999999999E-3</v>
      </c>
      <c r="G311" s="2">
        <f t="shared" si="24"/>
        <v>2024</v>
      </c>
      <c r="H311" s="2" t="str">
        <f t="shared" si="25"/>
        <v>Mar</v>
      </c>
      <c r="I311" s="2">
        <f t="shared" si="26"/>
        <v>3</v>
      </c>
      <c r="J311" s="2" t="str">
        <f t="shared" si="27"/>
        <v>2024-03</v>
      </c>
      <c r="K311" s="2">
        <f t="shared" si="28"/>
        <v>10</v>
      </c>
      <c r="L311" s="2">
        <f ca="1">AVERAGE(OFFSET(USD_NGN_Historical_Data__17[[#This Row],[Rate]], -6, 0, 7, 1))</f>
        <v>1576.8271428571429</v>
      </c>
      <c r="M311" s="2" t="str">
        <f t="shared" si="29"/>
        <v>Fri</v>
      </c>
    </row>
    <row r="312" spans="1:13" x14ac:dyDescent="0.35">
      <c r="A312" s="4">
        <v>45362</v>
      </c>
      <c r="B312" s="2">
        <v>1624.23</v>
      </c>
      <c r="C312" s="2">
        <v>1594.34</v>
      </c>
      <c r="D312" s="2">
        <v>1625.23</v>
      </c>
      <c r="E312" s="2">
        <v>1531</v>
      </c>
      <c r="F312" s="1">
        <v>1.9400000000000001E-2</v>
      </c>
      <c r="G312" s="2">
        <f t="shared" si="24"/>
        <v>2024</v>
      </c>
      <c r="H312" s="2" t="str">
        <f t="shared" si="25"/>
        <v>Mar</v>
      </c>
      <c r="I312" s="2">
        <f t="shared" si="26"/>
        <v>3</v>
      </c>
      <c r="J312" s="2" t="str">
        <f t="shared" si="27"/>
        <v>2024-03</v>
      </c>
      <c r="K312" s="2">
        <f t="shared" si="28"/>
        <v>11</v>
      </c>
      <c r="L312" s="2">
        <f ca="1">AVERAGE(OFFSET(USD_NGN_Historical_Data__17[[#This Row],[Rate]], -6, 0, 7, 1))</f>
        <v>1577.9242857142856</v>
      </c>
      <c r="M312" s="2" t="str">
        <f t="shared" si="29"/>
        <v>Mon</v>
      </c>
    </row>
    <row r="313" spans="1:13" x14ac:dyDescent="0.35">
      <c r="A313" s="4">
        <v>45363</v>
      </c>
      <c r="B313" s="2">
        <v>1611.78</v>
      </c>
      <c r="C313" s="2">
        <v>1625.23</v>
      </c>
      <c r="D313" s="2">
        <v>1625.23</v>
      </c>
      <c r="E313" s="2">
        <v>1575.25</v>
      </c>
      <c r="F313" s="1">
        <v>-7.7000000000000002E-3</v>
      </c>
      <c r="G313" s="2">
        <f t="shared" si="24"/>
        <v>2024</v>
      </c>
      <c r="H313" s="2" t="str">
        <f t="shared" si="25"/>
        <v>Mar</v>
      </c>
      <c r="I313" s="2">
        <f t="shared" si="26"/>
        <v>3</v>
      </c>
      <c r="J313" s="2" t="str">
        <f t="shared" si="27"/>
        <v>2024-03</v>
      </c>
      <c r="K313" s="2">
        <f t="shared" si="28"/>
        <v>11</v>
      </c>
      <c r="L313" s="2">
        <f ca="1">AVERAGE(OFFSET(USD_NGN_Historical_Data__17[[#This Row],[Rate]], -6, 0, 7, 1))</f>
        <v>1587.464285714286</v>
      </c>
      <c r="M313" s="2" t="str">
        <f t="shared" si="29"/>
        <v>Tue</v>
      </c>
    </row>
    <row r="314" spans="1:13" x14ac:dyDescent="0.35">
      <c r="A314" s="4">
        <v>45364</v>
      </c>
      <c r="B314" s="2">
        <v>1592.91</v>
      </c>
      <c r="C314" s="2">
        <v>1612.78</v>
      </c>
      <c r="D314" s="2">
        <v>1612.78</v>
      </c>
      <c r="E314" s="2">
        <v>1580.25</v>
      </c>
      <c r="F314" s="1">
        <v>-1.17E-2</v>
      </c>
      <c r="G314" s="2">
        <f t="shared" si="24"/>
        <v>2024</v>
      </c>
      <c r="H314" s="2" t="str">
        <f t="shared" si="25"/>
        <v>Mar</v>
      </c>
      <c r="I314" s="2">
        <f t="shared" si="26"/>
        <v>3</v>
      </c>
      <c r="J314" s="2" t="str">
        <f t="shared" si="27"/>
        <v>2024-03</v>
      </c>
      <c r="K314" s="2">
        <f t="shared" si="28"/>
        <v>11</v>
      </c>
      <c r="L314" s="2">
        <f ca="1">AVERAGE(OFFSET(USD_NGN_Historical_Data__17[[#This Row],[Rate]], -6, 0, 7, 1))</f>
        <v>1594.5114285714287</v>
      </c>
      <c r="M314" s="2" t="str">
        <f t="shared" si="29"/>
        <v>Wed</v>
      </c>
    </row>
    <row r="315" spans="1:13" x14ac:dyDescent="0.35">
      <c r="A315" s="4">
        <v>45365</v>
      </c>
      <c r="B315" s="2">
        <v>1590.5</v>
      </c>
      <c r="C315" s="2">
        <v>1594.5</v>
      </c>
      <c r="D315" s="2">
        <v>1594.9549999999999</v>
      </c>
      <c r="E315" s="2">
        <v>1585.5</v>
      </c>
      <c r="F315" s="1">
        <v>-1.5E-3</v>
      </c>
      <c r="G315" s="2">
        <f t="shared" si="24"/>
        <v>2024</v>
      </c>
      <c r="H315" s="2" t="str">
        <f t="shared" si="25"/>
        <v>Mar</v>
      </c>
      <c r="I315" s="2">
        <f t="shared" si="26"/>
        <v>3</v>
      </c>
      <c r="J315" s="2" t="str">
        <f t="shared" si="27"/>
        <v>2024-03</v>
      </c>
      <c r="K315" s="2">
        <f t="shared" si="28"/>
        <v>11</v>
      </c>
      <c r="L315" s="2">
        <f ca="1">AVERAGE(OFFSET(USD_NGN_Historical_Data__17[[#This Row],[Rate]], -6, 0, 7, 1))</f>
        <v>1598.8671428571431</v>
      </c>
      <c r="M315" s="2" t="str">
        <f t="shared" si="29"/>
        <v>Thu</v>
      </c>
    </row>
    <row r="316" spans="1:13" x14ac:dyDescent="0.35">
      <c r="A316" s="4">
        <v>45366</v>
      </c>
      <c r="B316" s="2">
        <v>1609.74</v>
      </c>
      <c r="C316" s="2">
        <v>1591.5</v>
      </c>
      <c r="D316" s="2">
        <v>1611.87</v>
      </c>
      <c r="E316" s="2">
        <v>1570.25</v>
      </c>
      <c r="F316" s="1">
        <v>1.21E-2</v>
      </c>
      <c r="G316" s="2">
        <f t="shared" si="24"/>
        <v>2024</v>
      </c>
      <c r="H316" s="2" t="str">
        <f t="shared" si="25"/>
        <v>Mar</v>
      </c>
      <c r="I316" s="2">
        <f t="shared" si="26"/>
        <v>3</v>
      </c>
      <c r="J316" s="2" t="str">
        <f t="shared" si="27"/>
        <v>2024-03</v>
      </c>
      <c r="K316" s="2">
        <f t="shared" si="28"/>
        <v>11</v>
      </c>
      <c r="L316" s="2">
        <f ca="1">AVERAGE(OFFSET(USD_NGN_Historical_Data__17[[#This Row],[Rate]], -6, 0, 7, 1))</f>
        <v>1601.6628571428571</v>
      </c>
      <c r="M316" s="2" t="str">
        <f t="shared" si="29"/>
        <v>Fri</v>
      </c>
    </row>
    <row r="317" spans="1:13" x14ac:dyDescent="0.35">
      <c r="A317" s="4">
        <v>45369</v>
      </c>
      <c r="B317" s="2">
        <v>1572.01</v>
      </c>
      <c r="C317" s="2">
        <v>1610.74</v>
      </c>
      <c r="D317" s="2">
        <v>1610.74</v>
      </c>
      <c r="E317" s="2">
        <v>1400.25</v>
      </c>
      <c r="F317" s="1">
        <v>-2.3400000000000001E-2</v>
      </c>
      <c r="G317" s="2">
        <f t="shared" si="24"/>
        <v>2024</v>
      </c>
      <c r="H317" s="2" t="str">
        <f t="shared" si="25"/>
        <v>Mar</v>
      </c>
      <c r="I317" s="2">
        <f t="shared" si="26"/>
        <v>3</v>
      </c>
      <c r="J317" s="2" t="str">
        <f t="shared" si="27"/>
        <v>2024-03</v>
      </c>
      <c r="K317" s="2">
        <f t="shared" si="28"/>
        <v>12</v>
      </c>
      <c r="L317" s="2">
        <f ca="1">AVERAGE(OFFSET(USD_NGN_Historical_Data__17[[#This Row],[Rate]], -6, 0, 7, 1))</f>
        <v>1599.2157142857143</v>
      </c>
      <c r="M317" s="2" t="str">
        <f t="shared" si="29"/>
        <v>Mon</v>
      </c>
    </row>
    <row r="318" spans="1:13" x14ac:dyDescent="0.35">
      <c r="A318" s="4">
        <v>45370</v>
      </c>
      <c r="B318" s="2">
        <v>1476.25</v>
      </c>
      <c r="C318" s="2">
        <v>1573.01</v>
      </c>
      <c r="D318" s="2">
        <v>1573.5050000000001</v>
      </c>
      <c r="E318" s="2">
        <v>1477.25</v>
      </c>
      <c r="F318" s="1">
        <v>-6.0900000000000003E-2</v>
      </c>
      <c r="G318" s="2">
        <f t="shared" si="24"/>
        <v>2024</v>
      </c>
      <c r="H318" s="2" t="str">
        <f t="shared" si="25"/>
        <v>Mar</v>
      </c>
      <c r="I318" s="2">
        <f t="shared" si="26"/>
        <v>3</v>
      </c>
      <c r="J318" s="2" t="str">
        <f t="shared" si="27"/>
        <v>2024-03</v>
      </c>
      <c r="K318" s="2">
        <f t="shared" si="28"/>
        <v>12</v>
      </c>
      <c r="L318" s="2">
        <f ca="1">AVERAGE(OFFSET(USD_NGN_Historical_Data__17[[#This Row],[Rate]], -6, 0, 7, 1))</f>
        <v>1582.4885714285715</v>
      </c>
      <c r="M318" s="2" t="str">
        <f t="shared" si="29"/>
        <v>Tue</v>
      </c>
    </row>
    <row r="319" spans="1:13" x14ac:dyDescent="0.35">
      <c r="A319" s="4">
        <v>45371</v>
      </c>
      <c r="B319" s="2">
        <v>1561.19</v>
      </c>
      <c r="C319" s="2">
        <v>1477.25</v>
      </c>
      <c r="D319" s="2">
        <v>1573.5</v>
      </c>
      <c r="E319" s="2">
        <v>1420.5</v>
      </c>
      <c r="F319" s="1">
        <v>5.7500000000000002E-2</v>
      </c>
      <c r="G319" s="2">
        <f t="shared" si="24"/>
        <v>2024</v>
      </c>
      <c r="H319" s="2" t="str">
        <f t="shared" si="25"/>
        <v>Mar</v>
      </c>
      <c r="I319" s="2">
        <f t="shared" si="26"/>
        <v>3</v>
      </c>
      <c r="J319" s="2" t="str">
        <f t="shared" si="27"/>
        <v>2024-03</v>
      </c>
      <c r="K319" s="2">
        <f t="shared" si="28"/>
        <v>12</v>
      </c>
      <c r="L319" s="2">
        <f ca="1">AVERAGE(OFFSET(USD_NGN_Historical_Data__17[[#This Row],[Rate]], -6, 0, 7, 1))</f>
        <v>1573.4828571428573</v>
      </c>
      <c r="M319" s="2" t="str">
        <f t="shared" si="29"/>
        <v>Wed</v>
      </c>
    </row>
    <row r="320" spans="1:13" x14ac:dyDescent="0.35">
      <c r="A320" s="4">
        <v>45372</v>
      </c>
      <c r="B320" s="2">
        <v>1409.94</v>
      </c>
      <c r="C320" s="2">
        <v>1562.19</v>
      </c>
      <c r="D320" s="2">
        <v>1562.19</v>
      </c>
      <c r="E320" s="2">
        <v>1300.5</v>
      </c>
      <c r="F320" s="1">
        <v>-9.69E-2</v>
      </c>
      <c r="G320" s="2">
        <f t="shared" si="24"/>
        <v>2024</v>
      </c>
      <c r="H320" s="2" t="str">
        <f t="shared" si="25"/>
        <v>Mar</v>
      </c>
      <c r="I320" s="2">
        <f t="shared" si="26"/>
        <v>3</v>
      </c>
      <c r="J320" s="2" t="str">
        <f t="shared" si="27"/>
        <v>2024-03</v>
      </c>
      <c r="K320" s="2">
        <f t="shared" si="28"/>
        <v>12</v>
      </c>
      <c r="L320" s="2">
        <f ca="1">AVERAGE(OFFSET(USD_NGN_Historical_Data__17[[#This Row],[Rate]], -6, 0, 7, 1))</f>
        <v>1544.6485714285716</v>
      </c>
      <c r="M320" s="2" t="str">
        <f t="shared" si="29"/>
        <v>Thu</v>
      </c>
    </row>
    <row r="321" spans="1:13" x14ac:dyDescent="0.35">
      <c r="A321" s="4">
        <v>45373</v>
      </c>
      <c r="B321" s="2">
        <v>1447.89</v>
      </c>
      <c r="C321" s="2">
        <v>1410.94</v>
      </c>
      <c r="D321" s="2">
        <v>1661</v>
      </c>
      <c r="E321" s="2">
        <v>1325.5</v>
      </c>
      <c r="F321" s="1">
        <v>2.69E-2</v>
      </c>
      <c r="G321" s="2">
        <f t="shared" si="24"/>
        <v>2024</v>
      </c>
      <c r="H321" s="2" t="str">
        <f t="shared" si="25"/>
        <v>Mar</v>
      </c>
      <c r="I321" s="2">
        <f t="shared" si="26"/>
        <v>3</v>
      </c>
      <c r="J321" s="2" t="str">
        <f t="shared" si="27"/>
        <v>2024-03</v>
      </c>
      <c r="K321" s="2">
        <f t="shared" si="28"/>
        <v>12</v>
      </c>
      <c r="L321" s="2">
        <f ca="1">AVERAGE(OFFSET(USD_NGN_Historical_Data__17[[#This Row],[Rate]], -6, 0, 7, 1))</f>
        <v>1523.9314285714286</v>
      </c>
      <c r="M321" s="2" t="str">
        <f t="shared" si="29"/>
        <v>Fri</v>
      </c>
    </row>
    <row r="322" spans="1:13" x14ac:dyDescent="0.35">
      <c r="A322" s="4">
        <v>45376</v>
      </c>
      <c r="B322" s="2">
        <v>1447.89</v>
      </c>
      <c r="C322" s="2">
        <v>1448.89</v>
      </c>
      <c r="D322" s="2">
        <v>1661</v>
      </c>
      <c r="E322" s="2">
        <v>1375.5</v>
      </c>
      <c r="F322" s="1">
        <v>0</v>
      </c>
      <c r="G322" s="2">
        <f t="shared" ref="G322:G385" si="30">YEAR(A322)</f>
        <v>2024</v>
      </c>
      <c r="H322" s="2" t="str">
        <f t="shared" ref="H322:H385" si="31">TEXT(A322,"mmm")</f>
        <v>Mar</v>
      </c>
      <c r="I322" s="2">
        <f t="shared" ref="I322:I385" si="32">MONTH(A322)</f>
        <v>3</v>
      </c>
      <c r="J322" s="2" t="str">
        <f t="shared" ref="J322:J385" si="33">TEXT(A322,"yyyy-mm")</f>
        <v>2024-03</v>
      </c>
      <c r="K322" s="2">
        <f t="shared" ref="K322:K385" si="34">WEEKNUM(A322)</f>
        <v>13</v>
      </c>
      <c r="L322" s="2">
        <f ca="1">AVERAGE(OFFSET(USD_NGN_Historical_Data__17[[#This Row],[Rate]], -6, 0, 7, 1))</f>
        <v>1503.5585714285714</v>
      </c>
      <c r="M322" s="2" t="str">
        <f t="shared" ref="M322:M385" si="35">TEXT(A322, "ddd")</f>
        <v>Mon</v>
      </c>
    </row>
    <row r="323" spans="1:13" x14ac:dyDescent="0.35">
      <c r="A323" s="4">
        <v>45377</v>
      </c>
      <c r="B323" s="2">
        <v>1404</v>
      </c>
      <c r="C323" s="2">
        <v>1448.89</v>
      </c>
      <c r="D323" s="2">
        <v>1577</v>
      </c>
      <c r="E323" s="2">
        <v>1275.5</v>
      </c>
      <c r="F323" s="1">
        <v>-3.0300000000000001E-2</v>
      </c>
      <c r="G323" s="2">
        <f t="shared" si="30"/>
        <v>2024</v>
      </c>
      <c r="H323" s="2" t="str">
        <f t="shared" si="31"/>
        <v>Mar</v>
      </c>
      <c r="I323" s="2">
        <f t="shared" si="32"/>
        <v>3</v>
      </c>
      <c r="J323" s="2" t="str">
        <f t="shared" si="33"/>
        <v>2024-03</v>
      </c>
      <c r="K323" s="2">
        <f t="shared" si="34"/>
        <v>13</v>
      </c>
      <c r="L323" s="2">
        <f ca="1">AVERAGE(OFFSET(USD_NGN_Historical_Data__17[[#This Row],[Rate]], -6, 0, 7, 1))</f>
        <v>1474.1671428571431</v>
      </c>
      <c r="M323" s="2" t="str">
        <f t="shared" si="35"/>
        <v>Tue</v>
      </c>
    </row>
    <row r="324" spans="1:13" x14ac:dyDescent="0.35">
      <c r="A324" s="4">
        <v>45378</v>
      </c>
      <c r="B324" s="2">
        <v>1415.13</v>
      </c>
      <c r="C324" s="2">
        <v>1405.97</v>
      </c>
      <c r="D324" s="2">
        <v>1550.5</v>
      </c>
      <c r="E324" s="2">
        <v>1285.5</v>
      </c>
      <c r="F324" s="1">
        <v>7.9000000000000008E-3</v>
      </c>
      <c r="G324" s="2">
        <f t="shared" si="30"/>
        <v>2024</v>
      </c>
      <c r="H324" s="2" t="str">
        <f t="shared" si="31"/>
        <v>Mar</v>
      </c>
      <c r="I324" s="2">
        <f t="shared" si="32"/>
        <v>3</v>
      </c>
      <c r="J324" s="2" t="str">
        <f t="shared" si="33"/>
        <v>2024-03</v>
      </c>
      <c r="K324" s="2">
        <f t="shared" si="34"/>
        <v>13</v>
      </c>
      <c r="L324" s="2">
        <f ca="1">AVERAGE(OFFSET(USD_NGN_Historical_Data__17[[#This Row],[Rate]], -6, 0, 7, 1))</f>
        <v>1451.7557142857145</v>
      </c>
      <c r="M324" s="2" t="str">
        <f t="shared" si="35"/>
        <v>Wed</v>
      </c>
    </row>
    <row r="325" spans="1:13" x14ac:dyDescent="0.35">
      <c r="A325" s="4">
        <v>45379</v>
      </c>
      <c r="B325" s="2">
        <v>1415.13</v>
      </c>
      <c r="C325" s="2">
        <v>1416.13</v>
      </c>
      <c r="D325" s="2">
        <v>1420.0650000000001</v>
      </c>
      <c r="E325" s="2">
        <v>1290</v>
      </c>
      <c r="F325" s="1">
        <v>0</v>
      </c>
      <c r="G325" s="2">
        <f t="shared" si="30"/>
        <v>2024</v>
      </c>
      <c r="H325" s="2" t="str">
        <f t="shared" si="31"/>
        <v>Mar</v>
      </c>
      <c r="I325" s="2">
        <f t="shared" si="32"/>
        <v>3</v>
      </c>
      <c r="J325" s="2" t="str">
        <f t="shared" si="33"/>
        <v>2024-03</v>
      </c>
      <c r="K325" s="2">
        <f t="shared" si="34"/>
        <v>13</v>
      </c>
      <c r="L325" s="2">
        <f ca="1">AVERAGE(OFFSET(USD_NGN_Historical_Data__17[[#This Row],[Rate]], -6, 0, 7, 1))</f>
        <v>1443.024285714286</v>
      </c>
      <c r="M325" s="2" t="str">
        <f t="shared" si="35"/>
        <v>Thu</v>
      </c>
    </row>
    <row r="326" spans="1:13" x14ac:dyDescent="0.35">
      <c r="A326" s="4">
        <v>45380</v>
      </c>
      <c r="B326" s="2">
        <v>1303</v>
      </c>
      <c r="C326" s="2">
        <v>1416.13</v>
      </c>
      <c r="D326" s="2">
        <v>1416.13</v>
      </c>
      <c r="E326" s="2">
        <v>1304.17</v>
      </c>
      <c r="F326" s="1">
        <v>-7.9200000000000007E-2</v>
      </c>
      <c r="G326" s="2">
        <f t="shared" si="30"/>
        <v>2024</v>
      </c>
      <c r="H326" s="2" t="str">
        <f t="shared" si="31"/>
        <v>Mar</v>
      </c>
      <c r="I326" s="2">
        <f t="shared" si="32"/>
        <v>3</v>
      </c>
      <c r="J326" s="2" t="str">
        <f t="shared" si="33"/>
        <v>2024-03</v>
      </c>
      <c r="K326" s="2">
        <f t="shared" si="34"/>
        <v>13</v>
      </c>
      <c r="L326" s="2">
        <f ca="1">AVERAGE(OFFSET(USD_NGN_Historical_Data__17[[#This Row],[Rate]], -6, 0, 7, 1))</f>
        <v>1406.1399999999999</v>
      </c>
      <c r="M326" s="2" t="str">
        <f t="shared" si="35"/>
        <v>Fri</v>
      </c>
    </row>
    <row r="327" spans="1:13" x14ac:dyDescent="0.35">
      <c r="A327" s="4">
        <v>45383</v>
      </c>
      <c r="B327" s="2">
        <v>1303.3399999999999</v>
      </c>
      <c r="C327" s="2">
        <v>1304.3399999999999</v>
      </c>
      <c r="D327" s="2">
        <v>1304.3399999999999</v>
      </c>
      <c r="E327" s="2">
        <v>1304.3399999999999</v>
      </c>
      <c r="F327" s="1">
        <v>2.9999999999999997E-4</v>
      </c>
      <c r="G327" s="2">
        <f t="shared" si="30"/>
        <v>2024</v>
      </c>
      <c r="H327" s="2" t="str">
        <f t="shared" si="31"/>
        <v>Apr</v>
      </c>
      <c r="I327" s="2">
        <f t="shared" si="32"/>
        <v>4</v>
      </c>
      <c r="J327" s="2" t="str">
        <f t="shared" si="33"/>
        <v>2024-04</v>
      </c>
      <c r="K327" s="2">
        <f t="shared" si="34"/>
        <v>14</v>
      </c>
      <c r="L327" s="2">
        <f ca="1">AVERAGE(OFFSET(USD_NGN_Historical_Data__17[[#This Row],[Rate]], -6, 0, 7, 1))</f>
        <v>1390.9114285714288</v>
      </c>
      <c r="M327" s="2" t="str">
        <f t="shared" si="35"/>
        <v>Mon</v>
      </c>
    </row>
    <row r="328" spans="1:13" x14ac:dyDescent="0.35">
      <c r="A328" s="4">
        <v>45384</v>
      </c>
      <c r="B328" s="2">
        <v>1280</v>
      </c>
      <c r="C328" s="2">
        <v>1304.3399999999999</v>
      </c>
      <c r="D328" s="2">
        <v>1450</v>
      </c>
      <c r="E328" s="2">
        <v>1266</v>
      </c>
      <c r="F328" s="1">
        <v>-1.7899999999999999E-2</v>
      </c>
      <c r="G328" s="2">
        <f t="shared" si="30"/>
        <v>2024</v>
      </c>
      <c r="H328" s="2" t="str">
        <f t="shared" si="31"/>
        <v>Apr</v>
      </c>
      <c r="I328" s="2">
        <f t="shared" si="32"/>
        <v>4</v>
      </c>
      <c r="J328" s="2" t="str">
        <f t="shared" si="33"/>
        <v>2024-04</v>
      </c>
      <c r="K328" s="2">
        <f t="shared" si="34"/>
        <v>14</v>
      </c>
      <c r="L328" s="2">
        <f ca="1">AVERAGE(OFFSET(USD_NGN_Historical_Data__17[[#This Row],[Rate]], -6, 0, 7, 1))</f>
        <v>1366.9271428571428</v>
      </c>
      <c r="M328" s="2" t="str">
        <f t="shared" si="35"/>
        <v>Tue</v>
      </c>
    </row>
    <row r="329" spans="1:13" x14ac:dyDescent="0.35">
      <c r="A329" s="4">
        <v>45385</v>
      </c>
      <c r="B329" s="2">
        <v>1350</v>
      </c>
      <c r="C329" s="2">
        <v>1281</v>
      </c>
      <c r="D329" s="2">
        <v>1365</v>
      </c>
      <c r="E329" s="2">
        <v>1230</v>
      </c>
      <c r="F329" s="1">
        <v>5.4699999999999999E-2</v>
      </c>
      <c r="G329" s="2">
        <f t="shared" si="30"/>
        <v>2024</v>
      </c>
      <c r="H329" s="2" t="str">
        <f t="shared" si="31"/>
        <v>Apr</v>
      </c>
      <c r="I329" s="2">
        <f t="shared" si="32"/>
        <v>4</v>
      </c>
      <c r="J329" s="2" t="str">
        <f t="shared" si="33"/>
        <v>2024-04</v>
      </c>
      <c r="K329" s="2">
        <f t="shared" si="34"/>
        <v>14</v>
      </c>
      <c r="L329" s="2">
        <f ca="1">AVERAGE(OFFSET(USD_NGN_Historical_Data__17[[#This Row],[Rate]], -6, 0, 7, 1))</f>
        <v>1352.9428571428573</v>
      </c>
      <c r="M329" s="2" t="str">
        <f t="shared" si="35"/>
        <v>Wed</v>
      </c>
    </row>
    <row r="330" spans="1:13" x14ac:dyDescent="0.35">
      <c r="A330" s="4">
        <v>45386</v>
      </c>
      <c r="B330" s="2">
        <v>1350</v>
      </c>
      <c r="C330" s="2">
        <v>1350</v>
      </c>
      <c r="D330" s="2">
        <v>1365</v>
      </c>
      <c r="E330" s="2">
        <v>1251</v>
      </c>
      <c r="F330" s="1">
        <v>0</v>
      </c>
      <c r="G330" s="2">
        <f t="shared" si="30"/>
        <v>2024</v>
      </c>
      <c r="H330" s="2" t="str">
        <f t="shared" si="31"/>
        <v>Apr</v>
      </c>
      <c r="I330" s="2">
        <f t="shared" si="32"/>
        <v>4</v>
      </c>
      <c r="J330" s="2" t="str">
        <f t="shared" si="33"/>
        <v>2024-04</v>
      </c>
      <c r="K330" s="2">
        <f t="shared" si="34"/>
        <v>14</v>
      </c>
      <c r="L330" s="2">
        <f ca="1">AVERAGE(OFFSET(USD_NGN_Historical_Data__17[[#This Row],[Rate]], -6, 0, 7, 1))</f>
        <v>1345.2285714285715</v>
      </c>
      <c r="M330" s="2" t="str">
        <f t="shared" si="35"/>
        <v>Thu</v>
      </c>
    </row>
    <row r="331" spans="1:13" x14ac:dyDescent="0.35">
      <c r="A331" s="4">
        <v>45387</v>
      </c>
      <c r="B331" s="2">
        <v>1244.5</v>
      </c>
      <c r="C331" s="2">
        <v>1350</v>
      </c>
      <c r="D331" s="2">
        <v>1354.9949999999999</v>
      </c>
      <c r="E331" s="2">
        <v>1237</v>
      </c>
      <c r="F331" s="1">
        <v>-7.8100000000000003E-2</v>
      </c>
      <c r="G331" s="2">
        <f t="shared" si="30"/>
        <v>2024</v>
      </c>
      <c r="H331" s="2" t="str">
        <f t="shared" si="31"/>
        <v>Apr</v>
      </c>
      <c r="I331" s="2">
        <f t="shared" si="32"/>
        <v>4</v>
      </c>
      <c r="J331" s="2" t="str">
        <f t="shared" si="33"/>
        <v>2024-04</v>
      </c>
      <c r="K331" s="2">
        <f t="shared" si="34"/>
        <v>14</v>
      </c>
      <c r="L331" s="2">
        <f ca="1">AVERAGE(OFFSET(USD_NGN_Historical_Data__17[[#This Row],[Rate]], -6, 0, 7, 1))</f>
        <v>1320.8528571428574</v>
      </c>
      <c r="M331" s="2" t="str">
        <f t="shared" si="35"/>
        <v>Fri</v>
      </c>
    </row>
    <row r="332" spans="1:13" x14ac:dyDescent="0.35">
      <c r="A332" s="4">
        <v>45390</v>
      </c>
      <c r="B332" s="2">
        <v>1230</v>
      </c>
      <c r="C332" s="2">
        <v>1245.5</v>
      </c>
      <c r="D332" s="2">
        <v>1295</v>
      </c>
      <c r="E332" s="2">
        <v>1220.5</v>
      </c>
      <c r="F332" s="1">
        <v>-1.17E-2</v>
      </c>
      <c r="G332" s="2">
        <f t="shared" si="30"/>
        <v>2024</v>
      </c>
      <c r="H332" s="2" t="str">
        <f t="shared" si="31"/>
        <v>Apr</v>
      </c>
      <c r="I332" s="2">
        <f t="shared" si="32"/>
        <v>4</v>
      </c>
      <c r="J332" s="2" t="str">
        <f t="shared" si="33"/>
        <v>2024-04</v>
      </c>
      <c r="K332" s="2">
        <f t="shared" si="34"/>
        <v>15</v>
      </c>
      <c r="L332" s="2">
        <f ca="1">AVERAGE(OFFSET(USD_NGN_Historical_Data__17[[#This Row],[Rate]], -6, 0, 7, 1))</f>
        <v>1294.4057142857143</v>
      </c>
      <c r="M332" s="2" t="str">
        <f t="shared" si="35"/>
        <v>Mon</v>
      </c>
    </row>
    <row r="333" spans="1:13" x14ac:dyDescent="0.35">
      <c r="A333" s="4">
        <v>45391</v>
      </c>
      <c r="B333" s="2">
        <v>1246.17</v>
      </c>
      <c r="C333" s="2">
        <v>1231</v>
      </c>
      <c r="D333" s="2">
        <v>1247.17</v>
      </c>
      <c r="E333" s="2">
        <v>1231</v>
      </c>
      <c r="F333" s="1">
        <v>1.3100000000000001E-2</v>
      </c>
      <c r="G333" s="2">
        <f t="shared" si="30"/>
        <v>2024</v>
      </c>
      <c r="H333" s="2" t="str">
        <f t="shared" si="31"/>
        <v>Apr</v>
      </c>
      <c r="I333" s="2">
        <f t="shared" si="32"/>
        <v>4</v>
      </c>
      <c r="J333" s="2" t="str">
        <f t="shared" si="33"/>
        <v>2024-04</v>
      </c>
      <c r="K333" s="2">
        <f t="shared" si="34"/>
        <v>15</v>
      </c>
      <c r="L333" s="2">
        <f ca="1">AVERAGE(OFFSET(USD_NGN_Historical_Data__17[[#This Row],[Rate]], -6, 0, 7, 1))</f>
        <v>1286.287142857143</v>
      </c>
      <c r="M333" s="2" t="str">
        <f t="shared" si="35"/>
        <v>Tue</v>
      </c>
    </row>
    <row r="334" spans="1:13" x14ac:dyDescent="0.35">
      <c r="A334" s="4">
        <v>45392</v>
      </c>
      <c r="B334" s="2">
        <v>1230</v>
      </c>
      <c r="C334" s="2">
        <v>1247.17</v>
      </c>
      <c r="D334" s="2">
        <v>1247.17</v>
      </c>
      <c r="E334" s="2">
        <v>1235</v>
      </c>
      <c r="F334" s="1">
        <v>-1.2999999999999999E-2</v>
      </c>
      <c r="G334" s="2">
        <f t="shared" si="30"/>
        <v>2024</v>
      </c>
      <c r="H334" s="2" t="str">
        <f t="shared" si="31"/>
        <v>Apr</v>
      </c>
      <c r="I334" s="2">
        <f t="shared" si="32"/>
        <v>4</v>
      </c>
      <c r="J334" s="2" t="str">
        <f t="shared" si="33"/>
        <v>2024-04</v>
      </c>
      <c r="K334" s="2">
        <f t="shared" si="34"/>
        <v>15</v>
      </c>
      <c r="L334" s="2">
        <f ca="1">AVERAGE(OFFSET(USD_NGN_Historical_Data__17[[#This Row],[Rate]], -6, 0, 7, 1))</f>
        <v>1275.81</v>
      </c>
      <c r="M334" s="2" t="str">
        <f t="shared" si="35"/>
        <v>Wed</v>
      </c>
    </row>
    <row r="335" spans="1:13" x14ac:dyDescent="0.35">
      <c r="A335" s="4">
        <v>45393</v>
      </c>
      <c r="B335" s="2">
        <v>1246.17</v>
      </c>
      <c r="C335" s="2">
        <v>1247.17</v>
      </c>
      <c r="D335" s="2">
        <v>1247.17</v>
      </c>
      <c r="E335" s="2">
        <v>1247.05</v>
      </c>
      <c r="F335" s="1">
        <v>1.3100000000000001E-2</v>
      </c>
      <c r="G335" s="2">
        <f t="shared" si="30"/>
        <v>2024</v>
      </c>
      <c r="H335" s="2" t="str">
        <f t="shared" si="31"/>
        <v>Apr</v>
      </c>
      <c r="I335" s="2">
        <f t="shared" si="32"/>
        <v>4</v>
      </c>
      <c r="J335" s="2" t="str">
        <f t="shared" si="33"/>
        <v>2024-04</v>
      </c>
      <c r="K335" s="2">
        <f t="shared" si="34"/>
        <v>15</v>
      </c>
      <c r="L335" s="2">
        <f ca="1">AVERAGE(OFFSET(USD_NGN_Historical_Data__17[[#This Row],[Rate]], -6, 0, 7, 1))</f>
        <v>1270.9771428571428</v>
      </c>
      <c r="M335" s="2" t="str">
        <f t="shared" si="35"/>
        <v>Thu</v>
      </c>
    </row>
    <row r="336" spans="1:13" x14ac:dyDescent="0.35">
      <c r="A336" s="4">
        <v>45394</v>
      </c>
      <c r="B336" s="2">
        <v>1150</v>
      </c>
      <c r="C336" s="2">
        <v>1247.17</v>
      </c>
      <c r="D336" s="2">
        <v>1263.085</v>
      </c>
      <c r="E336" s="2">
        <v>1151</v>
      </c>
      <c r="F336" s="1">
        <v>-7.7200000000000005E-2</v>
      </c>
      <c r="G336" s="2">
        <f t="shared" si="30"/>
        <v>2024</v>
      </c>
      <c r="H336" s="2" t="str">
        <f t="shared" si="31"/>
        <v>Apr</v>
      </c>
      <c r="I336" s="2">
        <f t="shared" si="32"/>
        <v>4</v>
      </c>
      <c r="J336" s="2" t="str">
        <f t="shared" si="33"/>
        <v>2024-04</v>
      </c>
      <c r="K336" s="2">
        <f t="shared" si="34"/>
        <v>15</v>
      </c>
      <c r="L336" s="2">
        <f ca="1">AVERAGE(OFFSET(USD_NGN_Historical_Data__17[[#This Row],[Rate]], -6, 0, 7, 1))</f>
        <v>1242.4057142857143</v>
      </c>
      <c r="M336" s="2" t="str">
        <f t="shared" si="35"/>
        <v>Fri</v>
      </c>
    </row>
    <row r="337" spans="1:13" x14ac:dyDescent="0.35">
      <c r="A337" s="4">
        <v>45397</v>
      </c>
      <c r="B337" s="2">
        <v>1150</v>
      </c>
      <c r="C337" s="2">
        <v>1190</v>
      </c>
      <c r="D337" s="2">
        <v>1190</v>
      </c>
      <c r="E337" s="2">
        <v>1143.5</v>
      </c>
      <c r="F337" s="1">
        <v>0</v>
      </c>
      <c r="G337" s="2">
        <f t="shared" si="30"/>
        <v>2024</v>
      </c>
      <c r="H337" s="2" t="str">
        <f t="shared" si="31"/>
        <v>Apr</v>
      </c>
      <c r="I337" s="2">
        <f t="shared" si="32"/>
        <v>4</v>
      </c>
      <c r="J337" s="2" t="str">
        <f t="shared" si="33"/>
        <v>2024-04</v>
      </c>
      <c r="K337" s="2">
        <f t="shared" si="34"/>
        <v>16</v>
      </c>
      <c r="L337" s="2">
        <f ca="1">AVERAGE(OFFSET(USD_NGN_Historical_Data__17[[#This Row],[Rate]], -6, 0, 7, 1))</f>
        <v>1213.8342857142857</v>
      </c>
      <c r="M337" s="2" t="str">
        <f t="shared" si="35"/>
        <v>Mon</v>
      </c>
    </row>
    <row r="338" spans="1:13" x14ac:dyDescent="0.35">
      <c r="A338" s="4">
        <v>45398</v>
      </c>
      <c r="B338" s="2">
        <v>1138</v>
      </c>
      <c r="C338" s="2">
        <v>1151</v>
      </c>
      <c r="D338" s="2">
        <v>1190</v>
      </c>
      <c r="E338" s="2">
        <v>1139</v>
      </c>
      <c r="F338" s="1">
        <v>-1.04E-2</v>
      </c>
      <c r="G338" s="2">
        <f t="shared" si="30"/>
        <v>2024</v>
      </c>
      <c r="H338" s="2" t="str">
        <f t="shared" si="31"/>
        <v>Apr</v>
      </c>
      <c r="I338" s="2">
        <f t="shared" si="32"/>
        <v>4</v>
      </c>
      <c r="J338" s="2" t="str">
        <f t="shared" si="33"/>
        <v>2024-04</v>
      </c>
      <c r="K338" s="2">
        <f t="shared" si="34"/>
        <v>16</v>
      </c>
      <c r="L338" s="2">
        <f ca="1">AVERAGE(OFFSET(USD_NGN_Historical_Data__17[[#This Row],[Rate]], -6, 0, 7, 1))</f>
        <v>1198.6200000000001</v>
      </c>
      <c r="M338" s="2" t="str">
        <f t="shared" si="35"/>
        <v>Tue</v>
      </c>
    </row>
    <row r="339" spans="1:13" x14ac:dyDescent="0.35">
      <c r="A339" s="4">
        <v>45399</v>
      </c>
      <c r="B339" s="2">
        <v>1160.71</v>
      </c>
      <c r="C339" s="2">
        <v>1160</v>
      </c>
      <c r="D339" s="2">
        <v>1172.855</v>
      </c>
      <c r="E339" s="2">
        <v>1115</v>
      </c>
      <c r="F339" s="1">
        <v>0.02</v>
      </c>
      <c r="G339" s="2">
        <f t="shared" si="30"/>
        <v>2024</v>
      </c>
      <c r="H339" s="2" t="str">
        <f t="shared" si="31"/>
        <v>Apr</v>
      </c>
      <c r="I339" s="2">
        <f t="shared" si="32"/>
        <v>4</v>
      </c>
      <c r="J339" s="2" t="str">
        <f t="shared" si="33"/>
        <v>2024-04</v>
      </c>
      <c r="K339" s="2">
        <f t="shared" si="34"/>
        <v>16</v>
      </c>
      <c r="L339" s="2">
        <f ca="1">AVERAGE(OFFSET(USD_NGN_Historical_Data__17[[#This Row],[Rate]], -6, 0, 7, 1))</f>
        <v>1188.7214285714285</v>
      </c>
      <c r="M339" s="2" t="str">
        <f t="shared" si="35"/>
        <v>Wed</v>
      </c>
    </row>
    <row r="340" spans="1:13" x14ac:dyDescent="0.35">
      <c r="A340" s="4">
        <v>45400</v>
      </c>
      <c r="B340" s="2">
        <v>1147.53</v>
      </c>
      <c r="C340" s="2">
        <v>1161.71</v>
      </c>
      <c r="D340" s="2">
        <v>1177.855</v>
      </c>
      <c r="E340" s="2">
        <v>1137.2650000000001</v>
      </c>
      <c r="F340" s="1">
        <v>-1.14E-2</v>
      </c>
      <c r="G340" s="2">
        <f t="shared" si="30"/>
        <v>2024</v>
      </c>
      <c r="H340" s="2" t="str">
        <f t="shared" si="31"/>
        <v>Apr</v>
      </c>
      <c r="I340" s="2">
        <f t="shared" si="32"/>
        <v>4</v>
      </c>
      <c r="J340" s="2" t="str">
        <f t="shared" si="33"/>
        <v>2024-04</v>
      </c>
      <c r="K340" s="2">
        <f t="shared" si="34"/>
        <v>16</v>
      </c>
      <c r="L340" s="2">
        <f ca="1">AVERAGE(OFFSET(USD_NGN_Historical_Data__17[[#This Row],[Rate]], -6, 0, 7, 1))</f>
        <v>1174.6299999999999</v>
      </c>
      <c r="M340" s="2" t="str">
        <f t="shared" si="35"/>
        <v>Thu</v>
      </c>
    </row>
    <row r="341" spans="1:13" x14ac:dyDescent="0.35">
      <c r="A341" s="4">
        <v>45401</v>
      </c>
      <c r="B341" s="2">
        <v>1002</v>
      </c>
      <c r="C341" s="2">
        <v>1148.53</v>
      </c>
      <c r="D341" s="2">
        <v>1350</v>
      </c>
      <c r="E341" s="2">
        <v>1002</v>
      </c>
      <c r="F341" s="1">
        <v>-0.1268</v>
      </c>
      <c r="G341" s="2">
        <f t="shared" si="30"/>
        <v>2024</v>
      </c>
      <c r="H341" s="2" t="str">
        <f t="shared" si="31"/>
        <v>Apr</v>
      </c>
      <c r="I341" s="2">
        <f t="shared" si="32"/>
        <v>4</v>
      </c>
      <c r="J341" s="2" t="str">
        <f t="shared" si="33"/>
        <v>2024-04</v>
      </c>
      <c r="K341" s="2">
        <f t="shared" si="34"/>
        <v>16</v>
      </c>
      <c r="L341" s="2">
        <f ca="1">AVERAGE(OFFSET(USD_NGN_Historical_Data__17[[#This Row],[Rate]], -6, 0, 7, 1))</f>
        <v>1142.0585714285714</v>
      </c>
      <c r="M341" s="2" t="str">
        <f t="shared" si="35"/>
        <v>Fri</v>
      </c>
    </row>
    <row r="342" spans="1:13" x14ac:dyDescent="0.35">
      <c r="A342" s="4">
        <v>45404</v>
      </c>
      <c r="B342" s="2">
        <v>1230</v>
      </c>
      <c r="C342" s="2">
        <v>1115</v>
      </c>
      <c r="D342" s="2">
        <v>1255.5</v>
      </c>
      <c r="E342" s="2">
        <v>1003</v>
      </c>
      <c r="F342" s="1">
        <v>0.22750000000000001</v>
      </c>
      <c r="G342" s="2">
        <f t="shared" si="30"/>
        <v>2024</v>
      </c>
      <c r="H342" s="2" t="str">
        <f t="shared" si="31"/>
        <v>Apr</v>
      </c>
      <c r="I342" s="2">
        <f t="shared" si="32"/>
        <v>4</v>
      </c>
      <c r="J342" s="2" t="str">
        <f t="shared" si="33"/>
        <v>2024-04</v>
      </c>
      <c r="K342" s="2">
        <f t="shared" si="34"/>
        <v>17</v>
      </c>
      <c r="L342" s="2">
        <f ca="1">AVERAGE(OFFSET(USD_NGN_Historical_Data__17[[#This Row],[Rate]], -6, 0, 7, 1))</f>
        <v>1139.7485714285715</v>
      </c>
      <c r="M342" s="2" t="str">
        <f t="shared" si="35"/>
        <v>Mon</v>
      </c>
    </row>
    <row r="343" spans="1:13" x14ac:dyDescent="0.35">
      <c r="A343" s="4">
        <v>45405</v>
      </c>
      <c r="B343" s="2">
        <v>1230</v>
      </c>
      <c r="C343" s="2">
        <v>1275</v>
      </c>
      <c r="D343" s="2">
        <v>1310</v>
      </c>
      <c r="E343" s="2">
        <v>1216</v>
      </c>
      <c r="F343" s="1">
        <v>0</v>
      </c>
      <c r="G343" s="2">
        <f t="shared" si="30"/>
        <v>2024</v>
      </c>
      <c r="H343" s="2" t="str">
        <f t="shared" si="31"/>
        <v>Apr</v>
      </c>
      <c r="I343" s="2">
        <f t="shared" si="32"/>
        <v>4</v>
      </c>
      <c r="J343" s="2" t="str">
        <f t="shared" si="33"/>
        <v>2024-04</v>
      </c>
      <c r="K343" s="2">
        <f t="shared" si="34"/>
        <v>17</v>
      </c>
      <c r="L343" s="2">
        <f ca="1">AVERAGE(OFFSET(USD_NGN_Historical_Data__17[[#This Row],[Rate]], -6, 0, 7, 1))</f>
        <v>1151.1771428571428</v>
      </c>
      <c r="M343" s="2" t="str">
        <f t="shared" si="35"/>
        <v>Tue</v>
      </c>
    </row>
    <row r="344" spans="1:13" x14ac:dyDescent="0.35">
      <c r="A344" s="4">
        <v>45406</v>
      </c>
      <c r="B344" s="2">
        <v>1251.05</v>
      </c>
      <c r="C344" s="2">
        <v>1231</v>
      </c>
      <c r="D344" s="2">
        <v>1345</v>
      </c>
      <c r="E344" s="2">
        <v>1231</v>
      </c>
      <c r="F344" s="1">
        <v>1.7100000000000001E-2</v>
      </c>
      <c r="G344" s="2">
        <f t="shared" si="30"/>
        <v>2024</v>
      </c>
      <c r="H344" s="2" t="str">
        <f t="shared" si="31"/>
        <v>Apr</v>
      </c>
      <c r="I344" s="2">
        <f t="shared" si="32"/>
        <v>4</v>
      </c>
      <c r="J344" s="2" t="str">
        <f t="shared" si="33"/>
        <v>2024-04</v>
      </c>
      <c r="K344" s="2">
        <f t="shared" si="34"/>
        <v>17</v>
      </c>
      <c r="L344" s="2">
        <f ca="1">AVERAGE(OFFSET(USD_NGN_Historical_Data__17[[#This Row],[Rate]], -6, 0, 7, 1))</f>
        <v>1165.6128571428571</v>
      </c>
      <c r="M344" s="2" t="str">
        <f t="shared" si="35"/>
        <v>Wed</v>
      </c>
    </row>
    <row r="345" spans="1:13" x14ac:dyDescent="0.35">
      <c r="A345" s="4">
        <v>45407</v>
      </c>
      <c r="B345" s="2">
        <v>1277.03</v>
      </c>
      <c r="C345" s="2">
        <v>1350</v>
      </c>
      <c r="D345" s="2">
        <v>1400</v>
      </c>
      <c r="E345" s="2">
        <v>1278.0150000000001</v>
      </c>
      <c r="F345" s="1">
        <v>2.0799999999999999E-2</v>
      </c>
      <c r="G345" s="2">
        <f t="shared" si="30"/>
        <v>2024</v>
      </c>
      <c r="H345" s="2" t="str">
        <f t="shared" si="31"/>
        <v>Apr</v>
      </c>
      <c r="I345" s="2">
        <f t="shared" si="32"/>
        <v>4</v>
      </c>
      <c r="J345" s="2" t="str">
        <f t="shared" si="33"/>
        <v>2024-04</v>
      </c>
      <c r="K345" s="2">
        <f t="shared" si="34"/>
        <v>17</v>
      </c>
      <c r="L345" s="2">
        <f ca="1">AVERAGE(OFFSET(USD_NGN_Historical_Data__17[[#This Row],[Rate]], -6, 0, 7, 1))</f>
        <v>1185.4742857142858</v>
      </c>
      <c r="M345" s="2" t="str">
        <f t="shared" si="35"/>
        <v>Thu</v>
      </c>
    </row>
    <row r="346" spans="1:13" x14ac:dyDescent="0.35">
      <c r="A346" s="4">
        <v>45408</v>
      </c>
      <c r="B346" s="2">
        <v>1329.44</v>
      </c>
      <c r="C346" s="2">
        <v>1278.03</v>
      </c>
      <c r="D346" s="2">
        <v>1385</v>
      </c>
      <c r="E346" s="2">
        <v>1278.03</v>
      </c>
      <c r="F346" s="1">
        <v>4.1000000000000002E-2</v>
      </c>
      <c r="G346" s="2">
        <f t="shared" si="30"/>
        <v>2024</v>
      </c>
      <c r="H346" s="2" t="str">
        <f t="shared" si="31"/>
        <v>Apr</v>
      </c>
      <c r="I346" s="2">
        <f t="shared" si="32"/>
        <v>4</v>
      </c>
      <c r="J346" s="2" t="str">
        <f t="shared" si="33"/>
        <v>2024-04</v>
      </c>
      <c r="K346" s="2">
        <f t="shared" si="34"/>
        <v>17</v>
      </c>
      <c r="L346" s="2">
        <f ca="1">AVERAGE(OFFSET(USD_NGN_Historical_Data__17[[#This Row],[Rate]], -6, 0, 7, 1))</f>
        <v>1209.5785714285714</v>
      </c>
      <c r="M346" s="2" t="str">
        <f t="shared" si="35"/>
        <v>Fri</v>
      </c>
    </row>
    <row r="347" spans="1:13" x14ac:dyDescent="0.35">
      <c r="A347" s="4">
        <v>45411</v>
      </c>
      <c r="B347" s="2">
        <v>1355</v>
      </c>
      <c r="C347" s="2">
        <v>1380</v>
      </c>
      <c r="D347" s="2">
        <v>1390</v>
      </c>
      <c r="E347" s="2">
        <v>1356</v>
      </c>
      <c r="F347" s="1">
        <v>1.9199999999999998E-2</v>
      </c>
      <c r="G347" s="2">
        <f t="shared" si="30"/>
        <v>2024</v>
      </c>
      <c r="H347" s="2" t="str">
        <f t="shared" si="31"/>
        <v>Apr</v>
      </c>
      <c r="I347" s="2">
        <f t="shared" si="32"/>
        <v>4</v>
      </c>
      <c r="J347" s="2" t="str">
        <f t="shared" si="33"/>
        <v>2024-04</v>
      </c>
      <c r="K347" s="2">
        <f t="shared" si="34"/>
        <v>18</v>
      </c>
      <c r="L347" s="2">
        <f ca="1">AVERAGE(OFFSET(USD_NGN_Historical_Data__17[[#This Row],[Rate]], -6, 0, 7, 1))</f>
        <v>1239.217142857143</v>
      </c>
      <c r="M347" s="2" t="str">
        <f t="shared" si="35"/>
        <v>Mon</v>
      </c>
    </row>
    <row r="348" spans="1:13" x14ac:dyDescent="0.35">
      <c r="A348" s="4">
        <v>45412</v>
      </c>
      <c r="B348" s="2">
        <v>1389</v>
      </c>
      <c r="C348" s="2">
        <v>1415</v>
      </c>
      <c r="D348" s="2">
        <v>1415</v>
      </c>
      <c r="E348" s="2">
        <v>1365</v>
      </c>
      <c r="F348" s="1">
        <v>2.5100000000000001E-2</v>
      </c>
      <c r="G348" s="2">
        <f t="shared" si="30"/>
        <v>2024</v>
      </c>
      <c r="H348" s="2" t="str">
        <f t="shared" si="31"/>
        <v>Apr</v>
      </c>
      <c r="I348" s="2">
        <f t="shared" si="32"/>
        <v>4</v>
      </c>
      <c r="J348" s="2" t="str">
        <f t="shared" si="33"/>
        <v>2024-04</v>
      </c>
      <c r="K348" s="2">
        <f t="shared" si="34"/>
        <v>18</v>
      </c>
      <c r="L348" s="2">
        <f ca="1">AVERAGE(OFFSET(USD_NGN_Historical_Data__17[[#This Row],[Rate]], -6, 0, 7, 1))</f>
        <v>1294.5028571428572</v>
      </c>
      <c r="M348" s="2" t="str">
        <f t="shared" si="35"/>
        <v>Tue</v>
      </c>
    </row>
    <row r="349" spans="1:13" x14ac:dyDescent="0.35">
      <c r="A349" s="4">
        <v>45413</v>
      </c>
      <c r="B349" s="2">
        <v>1389</v>
      </c>
      <c r="C349" s="2">
        <v>1390</v>
      </c>
      <c r="D349" s="2">
        <v>1394.26</v>
      </c>
      <c r="E349" s="2">
        <v>1390</v>
      </c>
      <c r="F349" s="1">
        <v>0</v>
      </c>
      <c r="G349" s="2">
        <f t="shared" si="30"/>
        <v>2024</v>
      </c>
      <c r="H349" s="2" t="str">
        <f t="shared" si="31"/>
        <v>May</v>
      </c>
      <c r="I349" s="2">
        <f t="shared" si="32"/>
        <v>5</v>
      </c>
      <c r="J349" s="2" t="str">
        <f t="shared" si="33"/>
        <v>2024-05</v>
      </c>
      <c r="K349" s="2">
        <f t="shared" si="34"/>
        <v>18</v>
      </c>
      <c r="L349" s="2">
        <f ca="1">AVERAGE(OFFSET(USD_NGN_Historical_Data__17[[#This Row],[Rate]], -6, 0, 7, 1))</f>
        <v>1317.217142857143</v>
      </c>
      <c r="M349" s="2" t="str">
        <f t="shared" si="35"/>
        <v>Wed</v>
      </c>
    </row>
    <row r="350" spans="1:13" x14ac:dyDescent="0.35">
      <c r="A350" s="4">
        <v>45414</v>
      </c>
      <c r="B350" s="2">
        <v>1349.9</v>
      </c>
      <c r="C350" s="2">
        <v>1390.52</v>
      </c>
      <c r="D350" s="2">
        <v>1397.26</v>
      </c>
      <c r="E350" s="2">
        <v>1350.9</v>
      </c>
      <c r="F350" s="1">
        <v>-2.81E-2</v>
      </c>
      <c r="G350" s="2">
        <f t="shared" si="30"/>
        <v>2024</v>
      </c>
      <c r="H350" s="2" t="str">
        <f t="shared" si="31"/>
        <v>May</v>
      </c>
      <c r="I350" s="2">
        <f t="shared" si="32"/>
        <v>5</v>
      </c>
      <c r="J350" s="2" t="str">
        <f t="shared" si="33"/>
        <v>2024-05</v>
      </c>
      <c r="K350" s="2">
        <f t="shared" si="34"/>
        <v>18</v>
      </c>
      <c r="L350" s="2">
        <f ca="1">AVERAGE(OFFSET(USD_NGN_Historical_Data__17[[#This Row],[Rate]], -6, 0, 7, 1))</f>
        <v>1334.3457142857144</v>
      </c>
      <c r="M350" s="2" t="str">
        <f t="shared" si="35"/>
        <v>Thu</v>
      </c>
    </row>
    <row r="351" spans="1:13" x14ac:dyDescent="0.35">
      <c r="A351" s="4">
        <v>45415</v>
      </c>
      <c r="B351" s="2">
        <v>1379</v>
      </c>
      <c r="C351" s="2">
        <v>1350.9</v>
      </c>
      <c r="D351" s="2">
        <v>1405</v>
      </c>
      <c r="E351" s="2">
        <v>1345.95</v>
      </c>
      <c r="F351" s="1">
        <v>2.1600000000000001E-2</v>
      </c>
      <c r="G351" s="2">
        <f t="shared" si="30"/>
        <v>2024</v>
      </c>
      <c r="H351" s="2" t="str">
        <f t="shared" si="31"/>
        <v>May</v>
      </c>
      <c r="I351" s="2">
        <f t="shared" si="32"/>
        <v>5</v>
      </c>
      <c r="J351" s="2" t="str">
        <f t="shared" si="33"/>
        <v>2024-05</v>
      </c>
      <c r="K351" s="2">
        <f t="shared" si="34"/>
        <v>18</v>
      </c>
      <c r="L351" s="2">
        <f ca="1">AVERAGE(OFFSET(USD_NGN_Historical_Data__17[[#This Row],[Rate]], -6, 0, 7, 1))</f>
        <v>1352.6242857142859</v>
      </c>
      <c r="M351" s="2" t="str">
        <f t="shared" si="35"/>
        <v>Fri</v>
      </c>
    </row>
    <row r="352" spans="1:13" x14ac:dyDescent="0.35">
      <c r="A352" s="4">
        <v>45418</v>
      </c>
      <c r="B352" s="2">
        <v>1380</v>
      </c>
      <c r="C352" s="2">
        <v>1380</v>
      </c>
      <c r="D352" s="2">
        <v>1406</v>
      </c>
      <c r="E352" s="2">
        <v>1365.5</v>
      </c>
      <c r="F352" s="1">
        <v>6.9999999999999999E-4</v>
      </c>
      <c r="G352" s="2">
        <f t="shared" si="30"/>
        <v>2024</v>
      </c>
      <c r="H352" s="2" t="str">
        <f t="shared" si="31"/>
        <v>May</v>
      </c>
      <c r="I352" s="2">
        <f t="shared" si="32"/>
        <v>5</v>
      </c>
      <c r="J352" s="2" t="str">
        <f t="shared" si="33"/>
        <v>2024-05</v>
      </c>
      <c r="K352" s="2">
        <f t="shared" si="34"/>
        <v>19</v>
      </c>
      <c r="L352" s="2">
        <f ca="1">AVERAGE(OFFSET(USD_NGN_Historical_Data__17[[#This Row],[Rate]], -6, 0, 7, 1))</f>
        <v>1367.3342857142857</v>
      </c>
      <c r="M352" s="2" t="str">
        <f t="shared" si="35"/>
        <v>Mon</v>
      </c>
    </row>
    <row r="353" spans="1:13" x14ac:dyDescent="0.35">
      <c r="A353" s="4">
        <v>45419</v>
      </c>
      <c r="B353" s="2">
        <v>1384</v>
      </c>
      <c r="C353" s="2">
        <v>1381</v>
      </c>
      <c r="D353" s="2">
        <v>1389</v>
      </c>
      <c r="E353" s="2">
        <v>1380</v>
      </c>
      <c r="F353" s="1">
        <v>2.8999999999999998E-3</v>
      </c>
      <c r="G353" s="2">
        <f t="shared" si="30"/>
        <v>2024</v>
      </c>
      <c r="H353" s="2" t="str">
        <f t="shared" si="31"/>
        <v>May</v>
      </c>
      <c r="I353" s="2">
        <f t="shared" si="32"/>
        <v>5</v>
      </c>
      <c r="J353" s="2" t="str">
        <f t="shared" si="33"/>
        <v>2024-05</v>
      </c>
      <c r="K353" s="2">
        <f t="shared" si="34"/>
        <v>19</v>
      </c>
      <c r="L353" s="2">
        <f ca="1">AVERAGE(OFFSET(USD_NGN_Historical_Data__17[[#This Row],[Rate]], -6, 0, 7, 1))</f>
        <v>1375.1285714285714</v>
      </c>
      <c r="M353" s="2" t="str">
        <f t="shared" si="35"/>
        <v>Tue</v>
      </c>
    </row>
    <row r="354" spans="1:13" x14ac:dyDescent="0.35">
      <c r="A354" s="4">
        <v>45420</v>
      </c>
      <c r="B354" s="2">
        <v>1404.8</v>
      </c>
      <c r="C354" s="2">
        <v>1383.9</v>
      </c>
      <c r="D354" s="2">
        <v>1430</v>
      </c>
      <c r="E354" s="2">
        <v>1383.9</v>
      </c>
      <c r="F354" s="1">
        <v>1.4999999999999999E-2</v>
      </c>
      <c r="G354" s="2">
        <f t="shared" si="30"/>
        <v>2024</v>
      </c>
      <c r="H354" s="2" t="str">
        <f t="shared" si="31"/>
        <v>May</v>
      </c>
      <c r="I354" s="2">
        <f t="shared" si="32"/>
        <v>5</v>
      </c>
      <c r="J354" s="2" t="str">
        <f t="shared" si="33"/>
        <v>2024-05</v>
      </c>
      <c r="K354" s="2">
        <f t="shared" si="34"/>
        <v>19</v>
      </c>
      <c r="L354" s="2">
        <f ca="1">AVERAGE(OFFSET(USD_NGN_Historical_Data__17[[#This Row],[Rate]], -6, 0, 7, 1))</f>
        <v>1382.242857142857</v>
      </c>
      <c r="M354" s="2" t="str">
        <f t="shared" si="35"/>
        <v>Wed</v>
      </c>
    </row>
    <row r="355" spans="1:13" x14ac:dyDescent="0.35">
      <c r="A355" s="4">
        <v>45421</v>
      </c>
      <c r="B355" s="2">
        <v>1429.05</v>
      </c>
      <c r="C355" s="2">
        <v>1405.8</v>
      </c>
      <c r="D355" s="2">
        <v>1455</v>
      </c>
      <c r="E355" s="2">
        <v>1405.8</v>
      </c>
      <c r="F355" s="1">
        <v>1.7299999999999999E-2</v>
      </c>
      <c r="G355" s="2">
        <f t="shared" si="30"/>
        <v>2024</v>
      </c>
      <c r="H355" s="2" t="str">
        <f t="shared" si="31"/>
        <v>May</v>
      </c>
      <c r="I355" s="2">
        <f t="shared" si="32"/>
        <v>5</v>
      </c>
      <c r="J355" s="2" t="str">
        <f t="shared" si="33"/>
        <v>2024-05</v>
      </c>
      <c r="K355" s="2">
        <f t="shared" si="34"/>
        <v>19</v>
      </c>
      <c r="L355" s="2">
        <f ca="1">AVERAGE(OFFSET(USD_NGN_Historical_Data__17[[#This Row],[Rate]], -6, 0, 7, 1))</f>
        <v>1387.9642857142856</v>
      </c>
      <c r="M355" s="2" t="str">
        <f t="shared" si="35"/>
        <v>Thu</v>
      </c>
    </row>
    <row r="356" spans="1:13" x14ac:dyDescent="0.35">
      <c r="A356" s="4">
        <v>45422</v>
      </c>
      <c r="B356" s="2">
        <v>1439.8</v>
      </c>
      <c r="C356" s="2">
        <v>1430.05</v>
      </c>
      <c r="D356" s="2">
        <v>1465</v>
      </c>
      <c r="E356" s="2">
        <v>1430.05</v>
      </c>
      <c r="F356" s="1">
        <v>7.4999999999999997E-3</v>
      </c>
      <c r="G356" s="2">
        <f t="shared" si="30"/>
        <v>2024</v>
      </c>
      <c r="H356" s="2" t="str">
        <f t="shared" si="31"/>
        <v>May</v>
      </c>
      <c r="I356" s="2">
        <f t="shared" si="32"/>
        <v>5</v>
      </c>
      <c r="J356" s="2" t="str">
        <f t="shared" si="33"/>
        <v>2024-05</v>
      </c>
      <c r="K356" s="2">
        <f t="shared" si="34"/>
        <v>19</v>
      </c>
      <c r="L356" s="2">
        <f ca="1">AVERAGE(OFFSET(USD_NGN_Historical_Data__17[[#This Row],[Rate]], -6, 0, 7, 1))</f>
        <v>1395.2214285714285</v>
      </c>
      <c r="M356" s="2" t="str">
        <f t="shared" si="35"/>
        <v>Fri</v>
      </c>
    </row>
    <row r="357" spans="1:13" x14ac:dyDescent="0.35">
      <c r="A357" s="4">
        <v>45425</v>
      </c>
      <c r="B357" s="2">
        <v>1419.9</v>
      </c>
      <c r="C357" s="2">
        <v>1440.8</v>
      </c>
      <c r="D357" s="2">
        <v>1475</v>
      </c>
      <c r="E357" s="2">
        <v>1395</v>
      </c>
      <c r="F357" s="1">
        <v>-1.38E-2</v>
      </c>
      <c r="G357" s="2">
        <f t="shared" si="30"/>
        <v>2024</v>
      </c>
      <c r="H357" s="2" t="str">
        <f t="shared" si="31"/>
        <v>May</v>
      </c>
      <c r="I357" s="2">
        <f t="shared" si="32"/>
        <v>5</v>
      </c>
      <c r="J357" s="2" t="str">
        <f t="shared" si="33"/>
        <v>2024-05</v>
      </c>
      <c r="K357" s="2">
        <f t="shared" si="34"/>
        <v>20</v>
      </c>
      <c r="L357" s="2">
        <f ca="1">AVERAGE(OFFSET(USD_NGN_Historical_Data__17[[#This Row],[Rate]], -6, 0, 7, 1))</f>
        <v>1405.2214285714285</v>
      </c>
      <c r="M357" s="2" t="str">
        <f t="shared" si="35"/>
        <v>Mon</v>
      </c>
    </row>
    <row r="358" spans="1:13" x14ac:dyDescent="0.35">
      <c r="A358" s="4">
        <v>45426</v>
      </c>
      <c r="B358" s="2">
        <v>1498</v>
      </c>
      <c r="C358" s="2">
        <v>1420.9</v>
      </c>
      <c r="D358" s="2">
        <v>1525</v>
      </c>
      <c r="E358" s="2">
        <v>1382.5</v>
      </c>
      <c r="F358" s="1">
        <v>5.5E-2</v>
      </c>
      <c r="G358" s="2">
        <f t="shared" si="30"/>
        <v>2024</v>
      </c>
      <c r="H358" s="2" t="str">
        <f t="shared" si="31"/>
        <v>May</v>
      </c>
      <c r="I358" s="2">
        <f t="shared" si="32"/>
        <v>5</v>
      </c>
      <c r="J358" s="2" t="str">
        <f t="shared" si="33"/>
        <v>2024-05</v>
      </c>
      <c r="K358" s="2">
        <f t="shared" si="34"/>
        <v>20</v>
      </c>
      <c r="L358" s="2">
        <f ca="1">AVERAGE(OFFSET(USD_NGN_Historical_Data__17[[#This Row],[Rate]], -6, 0, 7, 1))</f>
        <v>1422.2214285714288</v>
      </c>
      <c r="M358" s="2" t="str">
        <f t="shared" si="35"/>
        <v>Tue</v>
      </c>
    </row>
    <row r="359" spans="1:13" x14ac:dyDescent="0.35">
      <c r="A359" s="4">
        <v>45427</v>
      </c>
      <c r="B359" s="2">
        <v>1519</v>
      </c>
      <c r="C359" s="2">
        <v>1499</v>
      </c>
      <c r="D359" s="2">
        <v>1545</v>
      </c>
      <c r="E359" s="2">
        <v>1475</v>
      </c>
      <c r="F359" s="1">
        <v>1.4E-2</v>
      </c>
      <c r="G359" s="2">
        <f t="shared" si="30"/>
        <v>2024</v>
      </c>
      <c r="H359" s="2" t="str">
        <f t="shared" si="31"/>
        <v>May</v>
      </c>
      <c r="I359" s="2">
        <f t="shared" si="32"/>
        <v>5</v>
      </c>
      <c r="J359" s="2" t="str">
        <f t="shared" si="33"/>
        <v>2024-05</v>
      </c>
      <c r="K359" s="2">
        <f t="shared" si="34"/>
        <v>20</v>
      </c>
      <c r="L359" s="2">
        <f ca="1">AVERAGE(OFFSET(USD_NGN_Historical_Data__17[[#This Row],[Rate]], -6, 0, 7, 1))</f>
        <v>1442.0785714285716</v>
      </c>
      <c r="M359" s="2" t="str">
        <f t="shared" si="35"/>
        <v>Wed</v>
      </c>
    </row>
    <row r="360" spans="1:13" x14ac:dyDescent="0.35">
      <c r="A360" s="4">
        <v>45428</v>
      </c>
      <c r="B360" s="2">
        <v>1520</v>
      </c>
      <c r="C360" s="2">
        <v>1520</v>
      </c>
      <c r="D360" s="2">
        <v>1545</v>
      </c>
      <c r="E360" s="2">
        <v>1520</v>
      </c>
      <c r="F360" s="1">
        <v>6.9999999999999999E-4</v>
      </c>
      <c r="G360" s="2">
        <f t="shared" si="30"/>
        <v>2024</v>
      </c>
      <c r="H360" s="2" t="str">
        <f t="shared" si="31"/>
        <v>May</v>
      </c>
      <c r="I360" s="2">
        <f t="shared" si="32"/>
        <v>5</v>
      </c>
      <c r="J360" s="2" t="str">
        <f t="shared" si="33"/>
        <v>2024-05</v>
      </c>
      <c r="K360" s="2">
        <f t="shared" si="34"/>
        <v>20</v>
      </c>
      <c r="L360" s="2">
        <f ca="1">AVERAGE(OFFSET(USD_NGN_Historical_Data__17[[#This Row],[Rate]], -6, 0, 7, 1))</f>
        <v>1461.5071428571428</v>
      </c>
      <c r="M360" s="2" t="str">
        <f t="shared" si="35"/>
        <v>Thu</v>
      </c>
    </row>
    <row r="361" spans="1:13" x14ac:dyDescent="0.35">
      <c r="A361" s="4">
        <v>45429</v>
      </c>
      <c r="B361" s="2">
        <v>1467</v>
      </c>
      <c r="C361" s="2">
        <v>1521</v>
      </c>
      <c r="D361" s="2">
        <v>1525</v>
      </c>
      <c r="E361" s="2">
        <v>1434.5</v>
      </c>
      <c r="F361" s="1">
        <v>-3.49E-2</v>
      </c>
      <c r="G361" s="2">
        <f t="shared" si="30"/>
        <v>2024</v>
      </c>
      <c r="H361" s="2" t="str">
        <f t="shared" si="31"/>
        <v>May</v>
      </c>
      <c r="I361" s="2">
        <f t="shared" si="32"/>
        <v>5</v>
      </c>
      <c r="J361" s="2" t="str">
        <f t="shared" si="33"/>
        <v>2024-05</v>
      </c>
      <c r="K361" s="2">
        <f t="shared" si="34"/>
        <v>20</v>
      </c>
      <c r="L361" s="2">
        <f ca="1">AVERAGE(OFFSET(USD_NGN_Historical_Data__17[[#This Row],[Rate]], -6, 0, 7, 1))</f>
        <v>1470.3928571428571</v>
      </c>
      <c r="M361" s="2" t="str">
        <f t="shared" si="35"/>
        <v>Fri</v>
      </c>
    </row>
    <row r="362" spans="1:13" x14ac:dyDescent="0.35">
      <c r="A362" s="4">
        <v>45432</v>
      </c>
      <c r="B362" s="2">
        <v>1529.85</v>
      </c>
      <c r="C362" s="2">
        <v>1468</v>
      </c>
      <c r="D362" s="2">
        <v>1534.425</v>
      </c>
      <c r="E362" s="2">
        <v>1456</v>
      </c>
      <c r="F362" s="1">
        <v>4.2799999999999998E-2</v>
      </c>
      <c r="G362" s="2">
        <f t="shared" si="30"/>
        <v>2024</v>
      </c>
      <c r="H362" s="2" t="str">
        <f t="shared" si="31"/>
        <v>May</v>
      </c>
      <c r="I362" s="2">
        <f t="shared" si="32"/>
        <v>5</v>
      </c>
      <c r="J362" s="2" t="str">
        <f t="shared" si="33"/>
        <v>2024-05</v>
      </c>
      <c r="K362" s="2">
        <f t="shared" si="34"/>
        <v>21</v>
      </c>
      <c r="L362" s="2">
        <f ca="1">AVERAGE(OFFSET(USD_NGN_Historical_Data__17[[#This Row],[Rate]], -6, 0, 7, 1))</f>
        <v>1484.7928571428572</v>
      </c>
      <c r="M362" s="2" t="str">
        <f t="shared" si="35"/>
        <v>Mon</v>
      </c>
    </row>
    <row r="363" spans="1:13" x14ac:dyDescent="0.35">
      <c r="A363" s="4">
        <v>45433</v>
      </c>
      <c r="B363" s="2">
        <v>1415</v>
      </c>
      <c r="C363" s="2">
        <v>1530.85</v>
      </c>
      <c r="D363" s="2">
        <v>1530.85</v>
      </c>
      <c r="E363" s="2">
        <v>1416</v>
      </c>
      <c r="F363" s="1">
        <v>-7.51E-2</v>
      </c>
      <c r="G363" s="2">
        <f t="shared" si="30"/>
        <v>2024</v>
      </c>
      <c r="H363" s="2" t="str">
        <f t="shared" si="31"/>
        <v>May</v>
      </c>
      <c r="I363" s="2">
        <f t="shared" si="32"/>
        <v>5</v>
      </c>
      <c r="J363" s="2" t="str">
        <f t="shared" si="33"/>
        <v>2024-05</v>
      </c>
      <c r="K363" s="2">
        <f t="shared" si="34"/>
        <v>21</v>
      </c>
      <c r="L363" s="2">
        <f ca="1">AVERAGE(OFFSET(USD_NGN_Historical_Data__17[[#This Row],[Rate]], -6, 0, 7, 1))</f>
        <v>1481.25</v>
      </c>
      <c r="M363" s="2" t="str">
        <f t="shared" si="35"/>
        <v>Tue</v>
      </c>
    </row>
    <row r="364" spans="1:13" x14ac:dyDescent="0.35">
      <c r="A364" s="4">
        <v>45434</v>
      </c>
      <c r="B364" s="2">
        <v>1440</v>
      </c>
      <c r="C364" s="2">
        <v>1416</v>
      </c>
      <c r="D364" s="2">
        <v>1470</v>
      </c>
      <c r="E364" s="2">
        <v>1416</v>
      </c>
      <c r="F364" s="1">
        <v>1.77E-2</v>
      </c>
      <c r="G364" s="2">
        <f t="shared" si="30"/>
        <v>2024</v>
      </c>
      <c r="H364" s="2" t="str">
        <f t="shared" si="31"/>
        <v>May</v>
      </c>
      <c r="I364" s="2">
        <f t="shared" si="32"/>
        <v>5</v>
      </c>
      <c r="J364" s="2" t="str">
        <f t="shared" si="33"/>
        <v>2024-05</v>
      </c>
      <c r="K364" s="2">
        <f t="shared" si="34"/>
        <v>21</v>
      </c>
      <c r="L364" s="2">
        <f ca="1">AVERAGE(OFFSET(USD_NGN_Historical_Data__17[[#This Row],[Rate]], -6, 0, 7, 1))</f>
        <v>1484.1214285714286</v>
      </c>
      <c r="M364" s="2" t="str">
        <f t="shared" si="35"/>
        <v>Wed</v>
      </c>
    </row>
    <row r="365" spans="1:13" x14ac:dyDescent="0.35">
      <c r="A365" s="4">
        <v>45435</v>
      </c>
      <c r="B365" s="2">
        <v>1467</v>
      </c>
      <c r="C365" s="2">
        <v>1440</v>
      </c>
      <c r="D365" s="2">
        <v>1488.5</v>
      </c>
      <c r="E365" s="2">
        <v>1415</v>
      </c>
      <c r="F365" s="1">
        <v>1.8800000000000001E-2</v>
      </c>
      <c r="G365" s="2">
        <f t="shared" si="30"/>
        <v>2024</v>
      </c>
      <c r="H365" s="2" t="str">
        <f t="shared" si="31"/>
        <v>May</v>
      </c>
      <c r="I365" s="2">
        <f t="shared" si="32"/>
        <v>5</v>
      </c>
      <c r="J365" s="2" t="str">
        <f t="shared" si="33"/>
        <v>2024-05</v>
      </c>
      <c r="K365" s="2">
        <f t="shared" si="34"/>
        <v>21</v>
      </c>
      <c r="L365" s="2">
        <f ca="1">AVERAGE(OFFSET(USD_NGN_Historical_Data__17[[#This Row],[Rate]], -6, 0, 7, 1))</f>
        <v>1479.6928571428573</v>
      </c>
      <c r="M365" s="2" t="str">
        <f t="shared" si="35"/>
        <v>Thu</v>
      </c>
    </row>
    <row r="366" spans="1:13" x14ac:dyDescent="0.35">
      <c r="A366" s="4">
        <v>45436</v>
      </c>
      <c r="B366" s="2">
        <v>1474</v>
      </c>
      <c r="C366" s="2">
        <v>1468</v>
      </c>
      <c r="D366" s="2">
        <v>1480</v>
      </c>
      <c r="E366" s="2">
        <v>1467</v>
      </c>
      <c r="F366" s="1">
        <v>4.7999999999999996E-3</v>
      </c>
      <c r="G366" s="2">
        <f t="shared" si="30"/>
        <v>2024</v>
      </c>
      <c r="H366" s="2" t="str">
        <f t="shared" si="31"/>
        <v>May</v>
      </c>
      <c r="I366" s="2">
        <f t="shared" si="32"/>
        <v>5</v>
      </c>
      <c r="J366" s="2" t="str">
        <f t="shared" si="33"/>
        <v>2024-05</v>
      </c>
      <c r="K366" s="2">
        <f t="shared" si="34"/>
        <v>21</v>
      </c>
      <c r="L366" s="2">
        <f ca="1">AVERAGE(OFFSET(USD_NGN_Historical_Data__17[[#This Row],[Rate]], -6, 0, 7, 1))</f>
        <v>1473.2642857142857</v>
      </c>
      <c r="M366" s="2" t="str">
        <f t="shared" si="35"/>
        <v>Fri</v>
      </c>
    </row>
    <row r="367" spans="1:13" x14ac:dyDescent="0.35">
      <c r="A367" s="4">
        <v>45439</v>
      </c>
      <c r="B367" s="2">
        <v>1474</v>
      </c>
      <c r="C367" s="2">
        <v>1475</v>
      </c>
      <c r="D367" s="2">
        <v>1507.5</v>
      </c>
      <c r="E367" s="2">
        <v>1468</v>
      </c>
      <c r="F367" s="1">
        <v>0</v>
      </c>
      <c r="G367" s="2">
        <f t="shared" si="30"/>
        <v>2024</v>
      </c>
      <c r="H367" s="2" t="str">
        <f t="shared" si="31"/>
        <v>May</v>
      </c>
      <c r="I367" s="2">
        <f t="shared" si="32"/>
        <v>5</v>
      </c>
      <c r="J367" s="2" t="str">
        <f t="shared" si="33"/>
        <v>2024-05</v>
      </c>
      <c r="K367" s="2">
        <f t="shared" si="34"/>
        <v>22</v>
      </c>
      <c r="L367" s="2">
        <f ca="1">AVERAGE(OFFSET(USD_NGN_Historical_Data__17[[#This Row],[Rate]], -6, 0, 7, 1))</f>
        <v>1466.6928571428573</v>
      </c>
      <c r="M367" s="2" t="str">
        <f t="shared" si="35"/>
        <v>Mon</v>
      </c>
    </row>
    <row r="368" spans="1:13" x14ac:dyDescent="0.35">
      <c r="A368" s="4">
        <v>45440</v>
      </c>
      <c r="B368" s="2">
        <v>1301</v>
      </c>
      <c r="C368" s="2">
        <v>1475</v>
      </c>
      <c r="D368" s="2">
        <v>1485</v>
      </c>
      <c r="E368" s="2">
        <v>1301.5</v>
      </c>
      <c r="F368" s="1">
        <v>-0.1174</v>
      </c>
      <c r="G368" s="2">
        <f t="shared" si="30"/>
        <v>2024</v>
      </c>
      <c r="H368" s="2" t="str">
        <f t="shared" si="31"/>
        <v>May</v>
      </c>
      <c r="I368" s="2">
        <f t="shared" si="32"/>
        <v>5</v>
      </c>
      <c r="J368" s="2" t="str">
        <f t="shared" si="33"/>
        <v>2024-05</v>
      </c>
      <c r="K368" s="2">
        <f t="shared" si="34"/>
        <v>22</v>
      </c>
      <c r="L368" s="2">
        <f ca="1">AVERAGE(OFFSET(USD_NGN_Historical_Data__17[[#This Row],[Rate]], -6, 0, 7, 1))</f>
        <v>1442.9785714285715</v>
      </c>
      <c r="M368" s="2" t="str">
        <f t="shared" si="35"/>
        <v>Tue</v>
      </c>
    </row>
    <row r="369" spans="1:13" x14ac:dyDescent="0.35">
      <c r="A369" s="4">
        <v>45441</v>
      </c>
      <c r="B369" s="2">
        <v>1320</v>
      </c>
      <c r="C369" s="2">
        <v>1380</v>
      </c>
      <c r="D369" s="2">
        <v>1435</v>
      </c>
      <c r="E369" s="2">
        <v>1305.5</v>
      </c>
      <c r="F369" s="1">
        <v>1.46E-2</v>
      </c>
      <c r="G369" s="2">
        <f t="shared" si="30"/>
        <v>2024</v>
      </c>
      <c r="H369" s="2" t="str">
        <f t="shared" si="31"/>
        <v>May</v>
      </c>
      <c r="I369" s="2">
        <f t="shared" si="32"/>
        <v>5</v>
      </c>
      <c r="J369" s="2" t="str">
        <f t="shared" si="33"/>
        <v>2024-05</v>
      </c>
      <c r="K369" s="2">
        <f t="shared" si="34"/>
        <v>22</v>
      </c>
      <c r="L369" s="2">
        <f ca="1">AVERAGE(OFFSET(USD_NGN_Historical_Data__17[[#This Row],[Rate]], -6, 0, 7, 1))</f>
        <v>1413</v>
      </c>
      <c r="M369" s="2" t="str">
        <f t="shared" si="35"/>
        <v>Wed</v>
      </c>
    </row>
    <row r="370" spans="1:13" x14ac:dyDescent="0.35">
      <c r="A370" s="4">
        <v>45442</v>
      </c>
      <c r="B370" s="2">
        <v>1196.0999999999999</v>
      </c>
      <c r="C370" s="2">
        <v>1321</v>
      </c>
      <c r="D370" s="2">
        <v>1495</v>
      </c>
      <c r="E370" s="2">
        <v>1197.05</v>
      </c>
      <c r="F370" s="1">
        <v>-9.3899999999999997E-2</v>
      </c>
      <c r="G370" s="2">
        <f t="shared" si="30"/>
        <v>2024</v>
      </c>
      <c r="H370" s="2" t="str">
        <f t="shared" si="31"/>
        <v>May</v>
      </c>
      <c r="I370" s="2">
        <f t="shared" si="32"/>
        <v>5</v>
      </c>
      <c r="J370" s="2" t="str">
        <f t="shared" si="33"/>
        <v>2024-05</v>
      </c>
      <c r="K370" s="2">
        <f t="shared" si="34"/>
        <v>22</v>
      </c>
      <c r="L370" s="2">
        <f ca="1">AVERAGE(OFFSET(USD_NGN_Historical_Data__17[[#This Row],[Rate]], -6, 0, 7, 1))</f>
        <v>1381.7285714285715</v>
      </c>
      <c r="M370" s="2" t="str">
        <f t="shared" si="35"/>
        <v>Thu</v>
      </c>
    </row>
    <row r="371" spans="1:13" x14ac:dyDescent="0.35">
      <c r="A371" s="4">
        <v>45443</v>
      </c>
      <c r="B371" s="2">
        <v>1484</v>
      </c>
      <c r="C371" s="2">
        <v>1197.0999999999999</v>
      </c>
      <c r="D371" s="2">
        <v>1510</v>
      </c>
      <c r="E371" s="2">
        <v>1197.05</v>
      </c>
      <c r="F371" s="1">
        <v>0.2407</v>
      </c>
      <c r="G371" s="2">
        <f t="shared" si="30"/>
        <v>2024</v>
      </c>
      <c r="H371" s="2" t="str">
        <f t="shared" si="31"/>
        <v>May</v>
      </c>
      <c r="I371" s="2">
        <f t="shared" si="32"/>
        <v>5</v>
      </c>
      <c r="J371" s="2" t="str">
        <f t="shared" si="33"/>
        <v>2024-05</v>
      </c>
      <c r="K371" s="2">
        <f t="shared" si="34"/>
        <v>22</v>
      </c>
      <c r="L371" s="2">
        <f ca="1">AVERAGE(OFFSET(USD_NGN_Historical_Data__17[[#This Row],[Rate]], -6, 0, 7, 1))</f>
        <v>1388.0142857142857</v>
      </c>
      <c r="M371" s="2" t="str">
        <f t="shared" si="35"/>
        <v>Fri</v>
      </c>
    </row>
    <row r="372" spans="1:13" x14ac:dyDescent="0.35">
      <c r="A372" s="4">
        <v>45446</v>
      </c>
      <c r="B372" s="2">
        <v>1482</v>
      </c>
      <c r="C372" s="2">
        <v>1485</v>
      </c>
      <c r="D372" s="2">
        <v>1507</v>
      </c>
      <c r="E372" s="2">
        <v>1462.24</v>
      </c>
      <c r="F372" s="1">
        <v>-1.2999999999999999E-3</v>
      </c>
      <c r="G372" s="2">
        <f t="shared" si="30"/>
        <v>2024</v>
      </c>
      <c r="H372" s="2" t="str">
        <f t="shared" si="31"/>
        <v>Jun</v>
      </c>
      <c r="I372" s="2">
        <f t="shared" si="32"/>
        <v>6</v>
      </c>
      <c r="J372" s="2" t="str">
        <f t="shared" si="33"/>
        <v>2024-06</v>
      </c>
      <c r="K372" s="2">
        <f t="shared" si="34"/>
        <v>23</v>
      </c>
      <c r="L372" s="2">
        <f ca="1">AVERAGE(OFFSET(USD_NGN_Historical_Data__17[[#This Row],[Rate]], -6, 0, 7, 1))</f>
        <v>1390.1571428571428</v>
      </c>
      <c r="M372" s="2" t="str">
        <f t="shared" si="35"/>
        <v>Mon</v>
      </c>
    </row>
    <row r="373" spans="1:13" x14ac:dyDescent="0.35">
      <c r="A373" s="4">
        <v>45447</v>
      </c>
      <c r="B373" s="2">
        <v>1500</v>
      </c>
      <c r="C373" s="2">
        <v>1483.48</v>
      </c>
      <c r="D373" s="2">
        <v>1516.24</v>
      </c>
      <c r="E373" s="2">
        <v>1450.4</v>
      </c>
      <c r="F373" s="1">
        <v>1.21E-2</v>
      </c>
      <c r="G373" s="2">
        <f t="shared" si="30"/>
        <v>2024</v>
      </c>
      <c r="H373" s="2" t="str">
        <f t="shared" si="31"/>
        <v>Jun</v>
      </c>
      <c r="I373" s="2">
        <f t="shared" si="32"/>
        <v>6</v>
      </c>
      <c r="J373" s="2" t="str">
        <f t="shared" si="33"/>
        <v>2024-06</v>
      </c>
      <c r="K373" s="2">
        <f t="shared" si="34"/>
        <v>23</v>
      </c>
      <c r="L373" s="2">
        <f ca="1">AVERAGE(OFFSET(USD_NGN_Historical_Data__17[[#This Row],[Rate]], -6, 0, 7, 1))</f>
        <v>1393.8714285714286</v>
      </c>
      <c r="M373" s="2" t="str">
        <f t="shared" si="35"/>
        <v>Tue</v>
      </c>
    </row>
    <row r="374" spans="1:13" x14ac:dyDescent="0.35">
      <c r="A374" s="4">
        <v>45448</v>
      </c>
      <c r="B374" s="2">
        <v>1500</v>
      </c>
      <c r="C374" s="2">
        <v>1500</v>
      </c>
      <c r="D374" s="2">
        <v>1516</v>
      </c>
      <c r="E374" s="2">
        <v>1450.8</v>
      </c>
      <c r="F374" s="1">
        <v>0</v>
      </c>
      <c r="G374" s="2">
        <f t="shared" si="30"/>
        <v>2024</v>
      </c>
      <c r="H374" s="2" t="str">
        <f t="shared" si="31"/>
        <v>Jun</v>
      </c>
      <c r="I374" s="2">
        <f t="shared" si="32"/>
        <v>6</v>
      </c>
      <c r="J374" s="2" t="str">
        <f t="shared" si="33"/>
        <v>2024-06</v>
      </c>
      <c r="K374" s="2">
        <f t="shared" si="34"/>
        <v>23</v>
      </c>
      <c r="L374" s="2">
        <f ca="1">AVERAGE(OFFSET(USD_NGN_Historical_Data__17[[#This Row],[Rate]], -6, 0, 7, 1))</f>
        <v>1397.5857142857144</v>
      </c>
      <c r="M374" s="2" t="str">
        <f t="shared" si="35"/>
        <v>Wed</v>
      </c>
    </row>
    <row r="375" spans="1:13" x14ac:dyDescent="0.35">
      <c r="A375" s="4">
        <v>45449</v>
      </c>
      <c r="B375" s="2">
        <v>1500</v>
      </c>
      <c r="C375" s="2">
        <v>1500</v>
      </c>
      <c r="D375" s="2">
        <v>1516</v>
      </c>
      <c r="E375" s="2">
        <v>1451</v>
      </c>
      <c r="F375" s="1">
        <v>0</v>
      </c>
      <c r="G375" s="2">
        <f t="shared" si="30"/>
        <v>2024</v>
      </c>
      <c r="H375" s="2" t="str">
        <f t="shared" si="31"/>
        <v>Jun</v>
      </c>
      <c r="I375" s="2">
        <f t="shared" si="32"/>
        <v>6</v>
      </c>
      <c r="J375" s="2" t="str">
        <f t="shared" si="33"/>
        <v>2024-06</v>
      </c>
      <c r="K375" s="2">
        <f t="shared" si="34"/>
        <v>23</v>
      </c>
      <c r="L375" s="2">
        <f ca="1">AVERAGE(OFFSET(USD_NGN_Historical_Data__17[[#This Row],[Rate]], -6, 0, 7, 1))</f>
        <v>1426.0142857142857</v>
      </c>
      <c r="M375" s="2" t="str">
        <f t="shared" si="35"/>
        <v>Thu</v>
      </c>
    </row>
    <row r="376" spans="1:13" x14ac:dyDescent="0.35">
      <c r="A376" s="4">
        <v>45450</v>
      </c>
      <c r="B376" s="2">
        <v>1450</v>
      </c>
      <c r="C376" s="2">
        <v>1500</v>
      </c>
      <c r="D376" s="2">
        <v>1517.41</v>
      </c>
      <c r="E376" s="2">
        <v>1439.585</v>
      </c>
      <c r="F376" s="1">
        <v>-3.3300000000000003E-2</v>
      </c>
      <c r="G376" s="2">
        <f t="shared" si="30"/>
        <v>2024</v>
      </c>
      <c r="H376" s="2" t="str">
        <f t="shared" si="31"/>
        <v>Jun</v>
      </c>
      <c r="I376" s="2">
        <f t="shared" si="32"/>
        <v>6</v>
      </c>
      <c r="J376" s="2" t="str">
        <f t="shared" si="33"/>
        <v>2024-06</v>
      </c>
      <c r="K376" s="2">
        <f t="shared" si="34"/>
        <v>23</v>
      </c>
      <c r="L376" s="2">
        <f ca="1">AVERAGE(OFFSET(USD_NGN_Historical_Data__17[[#This Row],[Rate]], -6, 0, 7, 1))</f>
        <v>1444.5857142857144</v>
      </c>
      <c r="M376" s="2" t="str">
        <f t="shared" si="35"/>
        <v>Fri</v>
      </c>
    </row>
    <row r="377" spans="1:13" x14ac:dyDescent="0.35">
      <c r="A377" s="4">
        <v>45453</v>
      </c>
      <c r="B377" s="2">
        <v>1510</v>
      </c>
      <c r="C377" s="2">
        <v>1485.82</v>
      </c>
      <c r="D377" s="2">
        <v>1519.91</v>
      </c>
      <c r="E377" s="2">
        <v>1433.4</v>
      </c>
      <c r="F377" s="1">
        <v>4.1399999999999999E-2</v>
      </c>
      <c r="G377" s="2">
        <f t="shared" si="30"/>
        <v>2024</v>
      </c>
      <c r="H377" s="2" t="str">
        <f t="shared" si="31"/>
        <v>Jun</v>
      </c>
      <c r="I377" s="2">
        <f t="shared" si="32"/>
        <v>6</v>
      </c>
      <c r="J377" s="2" t="str">
        <f t="shared" si="33"/>
        <v>2024-06</v>
      </c>
      <c r="K377" s="2">
        <f t="shared" si="34"/>
        <v>24</v>
      </c>
      <c r="L377" s="2">
        <f ca="1">AVERAGE(OFFSET(USD_NGN_Historical_Data__17[[#This Row],[Rate]], -6, 0, 7, 1))</f>
        <v>1489.4285714285713</v>
      </c>
      <c r="M377" s="2" t="str">
        <f t="shared" si="35"/>
        <v>Mon</v>
      </c>
    </row>
    <row r="378" spans="1:13" x14ac:dyDescent="0.35">
      <c r="A378" s="4">
        <v>45454</v>
      </c>
      <c r="B378" s="2">
        <v>1525</v>
      </c>
      <c r="C378" s="2">
        <v>1510</v>
      </c>
      <c r="D378" s="2">
        <v>1525.32</v>
      </c>
      <c r="E378" s="2">
        <v>1458.4</v>
      </c>
      <c r="F378" s="1">
        <v>9.9000000000000008E-3</v>
      </c>
      <c r="G378" s="2">
        <f t="shared" si="30"/>
        <v>2024</v>
      </c>
      <c r="H378" s="2" t="str">
        <f t="shared" si="31"/>
        <v>Jun</v>
      </c>
      <c r="I378" s="2">
        <f t="shared" si="32"/>
        <v>6</v>
      </c>
      <c r="J378" s="2" t="str">
        <f t="shared" si="33"/>
        <v>2024-06</v>
      </c>
      <c r="K378" s="2">
        <f t="shared" si="34"/>
        <v>24</v>
      </c>
      <c r="L378" s="2">
        <f ca="1">AVERAGE(OFFSET(USD_NGN_Historical_Data__17[[#This Row],[Rate]], -6, 0, 7, 1))</f>
        <v>1495.2857142857142</v>
      </c>
      <c r="M378" s="2" t="str">
        <f t="shared" si="35"/>
        <v>Tue</v>
      </c>
    </row>
    <row r="379" spans="1:13" x14ac:dyDescent="0.35">
      <c r="A379" s="4">
        <v>45455</v>
      </c>
      <c r="B379" s="2">
        <v>1525</v>
      </c>
      <c r="C379" s="2">
        <v>1525</v>
      </c>
      <c r="D379" s="2">
        <v>1525.5</v>
      </c>
      <c r="E379" s="2">
        <v>1481.0250000000001</v>
      </c>
      <c r="F379" s="1">
        <v>0</v>
      </c>
      <c r="G379" s="2">
        <f t="shared" si="30"/>
        <v>2024</v>
      </c>
      <c r="H379" s="2" t="str">
        <f t="shared" si="31"/>
        <v>Jun</v>
      </c>
      <c r="I379" s="2">
        <f t="shared" si="32"/>
        <v>6</v>
      </c>
      <c r="J379" s="2" t="str">
        <f t="shared" si="33"/>
        <v>2024-06</v>
      </c>
      <c r="K379" s="2">
        <f t="shared" si="34"/>
        <v>24</v>
      </c>
      <c r="L379" s="2">
        <f ca="1">AVERAGE(OFFSET(USD_NGN_Historical_Data__17[[#This Row],[Rate]], -6, 0, 7, 1))</f>
        <v>1501.4285714285713</v>
      </c>
      <c r="M379" s="2" t="str">
        <f t="shared" si="35"/>
        <v>Wed</v>
      </c>
    </row>
    <row r="380" spans="1:13" x14ac:dyDescent="0.35">
      <c r="A380" s="4">
        <v>45456</v>
      </c>
      <c r="B380" s="2">
        <v>1525</v>
      </c>
      <c r="C380" s="2">
        <v>1525</v>
      </c>
      <c r="D380" s="2">
        <v>1525.0250000000001</v>
      </c>
      <c r="E380" s="2">
        <v>1466</v>
      </c>
      <c r="F380" s="1">
        <v>0</v>
      </c>
      <c r="G380" s="2">
        <f t="shared" si="30"/>
        <v>2024</v>
      </c>
      <c r="H380" s="2" t="str">
        <f t="shared" si="31"/>
        <v>Jun</v>
      </c>
      <c r="I380" s="2">
        <f t="shared" si="32"/>
        <v>6</v>
      </c>
      <c r="J380" s="2" t="str">
        <f t="shared" si="33"/>
        <v>2024-06</v>
      </c>
      <c r="K380" s="2">
        <f t="shared" si="34"/>
        <v>24</v>
      </c>
      <c r="L380" s="2">
        <f ca="1">AVERAGE(OFFSET(USD_NGN_Historical_Data__17[[#This Row],[Rate]], -6, 0, 7, 1))</f>
        <v>1505</v>
      </c>
      <c r="M380" s="2" t="str">
        <f t="shared" si="35"/>
        <v>Thu</v>
      </c>
    </row>
    <row r="381" spans="1:13" x14ac:dyDescent="0.35">
      <c r="A381" s="4">
        <v>45457</v>
      </c>
      <c r="B381" s="2">
        <v>1505</v>
      </c>
      <c r="C381" s="2">
        <v>1525</v>
      </c>
      <c r="D381" s="2">
        <v>1525.82</v>
      </c>
      <c r="E381" s="2">
        <v>1470</v>
      </c>
      <c r="F381" s="1">
        <v>-1.3100000000000001E-2</v>
      </c>
      <c r="G381" s="2">
        <f t="shared" si="30"/>
        <v>2024</v>
      </c>
      <c r="H381" s="2" t="str">
        <f t="shared" si="31"/>
        <v>Jun</v>
      </c>
      <c r="I381" s="2">
        <f t="shared" si="32"/>
        <v>6</v>
      </c>
      <c r="J381" s="2" t="str">
        <f t="shared" si="33"/>
        <v>2024-06</v>
      </c>
      <c r="K381" s="2">
        <f t="shared" si="34"/>
        <v>24</v>
      </c>
      <c r="L381" s="2">
        <f ca="1">AVERAGE(OFFSET(USD_NGN_Historical_Data__17[[#This Row],[Rate]], -6, 0, 7, 1))</f>
        <v>1505.7142857142858</v>
      </c>
      <c r="M381" s="2" t="str">
        <f t="shared" si="35"/>
        <v>Fri</v>
      </c>
    </row>
    <row r="382" spans="1:13" x14ac:dyDescent="0.35">
      <c r="A382" s="4">
        <v>45460</v>
      </c>
      <c r="B382" s="2">
        <v>1481.64</v>
      </c>
      <c r="C382" s="2">
        <v>1482.64</v>
      </c>
      <c r="D382" s="2">
        <v>1486.32</v>
      </c>
      <c r="E382" s="2">
        <v>1482.32</v>
      </c>
      <c r="F382" s="1">
        <v>-1.55E-2</v>
      </c>
      <c r="G382" s="2">
        <f t="shared" si="30"/>
        <v>2024</v>
      </c>
      <c r="H382" s="2" t="str">
        <f t="shared" si="31"/>
        <v>Jun</v>
      </c>
      <c r="I382" s="2">
        <f t="shared" si="32"/>
        <v>6</v>
      </c>
      <c r="J382" s="2" t="str">
        <f t="shared" si="33"/>
        <v>2024-06</v>
      </c>
      <c r="K382" s="2">
        <f t="shared" si="34"/>
        <v>25</v>
      </c>
      <c r="L382" s="2">
        <f ca="1">AVERAGE(OFFSET(USD_NGN_Historical_Data__17[[#This Row],[Rate]], -6, 0, 7, 1))</f>
        <v>1503.0914285714284</v>
      </c>
      <c r="M382" s="2" t="str">
        <f t="shared" si="35"/>
        <v>Mon</v>
      </c>
    </row>
    <row r="383" spans="1:13" x14ac:dyDescent="0.35">
      <c r="A383" s="4">
        <v>45461</v>
      </c>
      <c r="B383" s="2">
        <v>1495</v>
      </c>
      <c r="C383" s="2">
        <v>1505</v>
      </c>
      <c r="D383" s="2">
        <v>1510.82</v>
      </c>
      <c r="E383" s="2">
        <v>1471.82</v>
      </c>
      <c r="F383" s="1">
        <v>8.9999999999999993E-3</v>
      </c>
      <c r="G383" s="2">
        <f t="shared" si="30"/>
        <v>2024</v>
      </c>
      <c r="H383" s="2" t="str">
        <f t="shared" si="31"/>
        <v>Jun</v>
      </c>
      <c r="I383" s="2">
        <f t="shared" si="32"/>
        <v>6</v>
      </c>
      <c r="J383" s="2" t="str">
        <f t="shared" si="33"/>
        <v>2024-06</v>
      </c>
      <c r="K383" s="2">
        <f t="shared" si="34"/>
        <v>25</v>
      </c>
      <c r="L383" s="2">
        <f ca="1">AVERAGE(OFFSET(USD_NGN_Historical_Data__17[[#This Row],[Rate]], -6, 0, 7, 1))</f>
        <v>1509.52</v>
      </c>
      <c r="M383" s="2" t="str">
        <f t="shared" si="35"/>
        <v>Tue</v>
      </c>
    </row>
    <row r="384" spans="1:13" x14ac:dyDescent="0.35">
      <c r="A384" s="4">
        <v>45462</v>
      </c>
      <c r="B384" s="2">
        <v>1495</v>
      </c>
      <c r="C384" s="2">
        <v>1495</v>
      </c>
      <c r="D384" s="2">
        <v>1505.82</v>
      </c>
      <c r="E384" s="2">
        <v>1462.5</v>
      </c>
      <c r="F384" s="1">
        <v>0</v>
      </c>
      <c r="G384" s="2">
        <f t="shared" si="30"/>
        <v>2024</v>
      </c>
      <c r="H384" s="2" t="str">
        <f t="shared" si="31"/>
        <v>Jun</v>
      </c>
      <c r="I384" s="2">
        <f t="shared" si="32"/>
        <v>6</v>
      </c>
      <c r="J384" s="2" t="str">
        <f t="shared" si="33"/>
        <v>2024-06</v>
      </c>
      <c r="K384" s="2">
        <f t="shared" si="34"/>
        <v>25</v>
      </c>
      <c r="L384" s="2">
        <f ca="1">AVERAGE(OFFSET(USD_NGN_Historical_Data__17[[#This Row],[Rate]], -6, 0, 7, 1))</f>
        <v>1507.3771428571429</v>
      </c>
      <c r="M384" s="2" t="str">
        <f t="shared" si="35"/>
        <v>Wed</v>
      </c>
    </row>
    <row r="385" spans="1:13" x14ac:dyDescent="0.35">
      <c r="A385" s="4">
        <v>45463</v>
      </c>
      <c r="B385" s="2">
        <v>1495</v>
      </c>
      <c r="C385" s="2">
        <v>1495</v>
      </c>
      <c r="D385" s="2">
        <v>1505.5</v>
      </c>
      <c r="E385" s="2">
        <v>1470</v>
      </c>
      <c r="F385" s="1">
        <v>0</v>
      </c>
      <c r="G385" s="2">
        <f t="shared" si="30"/>
        <v>2024</v>
      </c>
      <c r="H385" s="2" t="str">
        <f t="shared" si="31"/>
        <v>Jun</v>
      </c>
      <c r="I385" s="2">
        <f t="shared" si="32"/>
        <v>6</v>
      </c>
      <c r="J385" s="2" t="str">
        <f t="shared" si="33"/>
        <v>2024-06</v>
      </c>
      <c r="K385" s="2">
        <f t="shared" si="34"/>
        <v>25</v>
      </c>
      <c r="L385" s="2">
        <f ca="1">AVERAGE(OFFSET(USD_NGN_Historical_Data__17[[#This Row],[Rate]], -6, 0, 7, 1))</f>
        <v>1503.0914285714284</v>
      </c>
      <c r="M385" s="2" t="str">
        <f t="shared" si="35"/>
        <v>Thu</v>
      </c>
    </row>
    <row r="386" spans="1:13" x14ac:dyDescent="0.35">
      <c r="A386" s="4">
        <v>45464</v>
      </c>
      <c r="B386" s="2">
        <v>1515</v>
      </c>
      <c r="C386" s="2">
        <v>1495</v>
      </c>
      <c r="D386" s="2">
        <v>1516.15</v>
      </c>
      <c r="E386" s="2">
        <v>1467.5</v>
      </c>
      <c r="F386" s="1">
        <v>1.34E-2</v>
      </c>
      <c r="G386" s="2">
        <f t="shared" ref="G386:G449" si="36">YEAR(A386)</f>
        <v>2024</v>
      </c>
      <c r="H386" s="2" t="str">
        <f t="shared" ref="H386:H449" si="37">TEXT(A386,"mmm")</f>
        <v>Jun</v>
      </c>
      <c r="I386" s="2">
        <f t="shared" ref="I386:I449" si="38">MONTH(A386)</f>
        <v>6</v>
      </c>
      <c r="J386" s="2" t="str">
        <f t="shared" ref="J386:J449" si="39">TEXT(A386,"yyyy-mm")</f>
        <v>2024-06</v>
      </c>
      <c r="K386" s="2">
        <f t="shared" ref="K386:K449" si="40">WEEKNUM(A386)</f>
        <v>25</v>
      </c>
      <c r="L386" s="2">
        <f ca="1">AVERAGE(OFFSET(USD_NGN_Historical_Data__17[[#This Row],[Rate]], -6, 0, 7, 1))</f>
        <v>1501.6628571428571</v>
      </c>
      <c r="M386" s="2" t="str">
        <f t="shared" ref="M386:M449" si="41">TEXT(A386, "ddd")</f>
        <v>Fri</v>
      </c>
    </row>
    <row r="387" spans="1:13" x14ac:dyDescent="0.35">
      <c r="A387" s="4">
        <v>45467</v>
      </c>
      <c r="B387" s="2">
        <v>1515</v>
      </c>
      <c r="C387" s="2">
        <v>1515</v>
      </c>
      <c r="D387" s="2">
        <v>1516.15</v>
      </c>
      <c r="E387" s="2">
        <v>1470.7550000000001</v>
      </c>
      <c r="F387" s="1">
        <v>0</v>
      </c>
      <c r="G387" s="2">
        <f t="shared" si="36"/>
        <v>2024</v>
      </c>
      <c r="H387" s="2" t="str">
        <f t="shared" si="37"/>
        <v>Jun</v>
      </c>
      <c r="I387" s="2">
        <f t="shared" si="38"/>
        <v>6</v>
      </c>
      <c r="J387" s="2" t="str">
        <f t="shared" si="39"/>
        <v>2024-06</v>
      </c>
      <c r="K387" s="2">
        <f t="shared" si="40"/>
        <v>26</v>
      </c>
      <c r="L387" s="2">
        <f ca="1">AVERAGE(OFFSET(USD_NGN_Historical_Data__17[[#This Row],[Rate]], -6, 0, 7, 1))</f>
        <v>1500.2342857142855</v>
      </c>
      <c r="M387" s="2" t="str">
        <f t="shared" si="41"/>
        <v>Mon</v>
      </c>
    </row>
    <row r="388" spans="1:13" x14ac:dyDescent="0.35">
      <c r="A388" s="4">
        <v>45468</v>
      </c>
      <c r="B388" s="2">
        <v>1525</v>
      </c>
      <c r="C388" s="2">
        <v>1515</v>
      </c>
      <c r="D388" s="2">
        <v>1525</v>
      </c>
      <c r="E388" s="2">
        <v>1465</v>
      </c>
      <c r="F388" s="1">
        <v>6.6E-3</v>
      </c>
      <c r="G388" s="2">
        <f t="shared" si="36"/>
        <v>2024</v>
      </c>
      <c r="H388" s="2" t="str">
        <f t="shared" si="37"/>
        <v>Jun</v>
      </c>
      <c r="I388" s="2">
        <f t="shared" si="38"/>
        <v>6</v>
      </c>
      <c r="J388" s="2" t="str">
        <f t="shared" si="39"/>
        <v>2024-06</v>
      </c>
      <c r="K388" s="2">
        <f t="shared" si="40"/>
        <v>26</v>
      </c>
      <c r="L388" s="2">
        <f ca="1">AVERAGE(OFFSET(USD_NGN_Historical_Data__17[[#This Row],[Rate]], -6, 0, 7, 1))</f>
        <v>1503.0914285714284</v>
      </c>
      <c r="M388" s="2" t="str">
        <f t="shared" si="41"/>
        <v>Tue</v>
      </c>
    </row>
    <row r="389" spans="1:13" x14ac:dyDescent="0.35">
      <c r="A389" s="4">
        <v>45469</v>
      </c>
      <c r="B389" s="2">
        <v>1525</v>
      </c>
      <c r="C389" s="2">
        <v>1525</v>
      </c>
      <c r="D389" s="2">
        <v>1526.68</v>
      </c>
      <c r="E389" s="2">
        <v>1485</v>
      </c>
      <c r="F389" s="1">
        <v>0</v>
      </c>
      <c r="G389" s="2">
        <f t="shared" si="36"/>
        <v>2024</v>
      </c>
      <c r="H389" s="2" t="str">
        <f t="shared" si="37"/>
        <v>Jun</v>
      </c>
      <c r="I389" s="2">
        <f t="shared" si="38"/>
        <v>6</v>
      </c>
      <c r="J389" s="2" t="str">
        <f t="shared" si="39"/>
        <v>2024-06</v>
      </c>
      <c r="K389" s="2">
        <f t="shared" si="40"/>
        <v>26</v>
      </c>
      <c r="L389" s="2">
        <f ca="1">AVERAGE(OFFSET(USD_NGN_Historical_Data__17[[#This Row],[Rate]], -6, 0, 7, 1))</f>
        <v>1509.2857142857142</v>
      </c>
      <c r="M389" s="2" t="str">
        <f t="shared" si="41"/>
        <v>Wed</v>
      </c>
    </row>
    <row r="390" spans="1:13" x14ac:dyDescent="0.35">
      <c r="A390" s="4">
        <v>45470</v>
      </c>
      <c r="B390" s="2">
        <v>1525</v>
      </c>
      <c r="C390" s="2">
        <v>1525</v>
      </c>
      <c r="D390" s="2">
        <v>1535</v>
      </c>
      <c r="E390" s="2">
        <v>1478.5</v>
      </c>
      <c r="F390" s="1">
        <v>0</v>
      </c>
      <c r="G390" s="2">
        <f t="shared" si="36"/>
        <v>2024</v>
      </c>
      <c r="H390" s="2" t="str">
        <f t="shared" si="37"/>
        <v>Jun</v>
      </c>
      <c r="I390" s="2">
        <f t="shared" si="38"/>
        <v>6</v>
      </c>
      <c r="J390" s="2" t="str">
        <f t="shared" si="39"/>
        <v>2024-06</v>
      </c>
      <c r="K390" s="2">
        <f t="shared" si="40"/>
        <v>26</v>
      </c>
      <c r="L390" s="2">
        <f ca="1">AVERAGE(OFFSET(USD_NGN_Historical_Data__17[[#This Row],[Rate]], -6, 0, 7, 1))</f>
        <v>1513.5714285714287</v>
      </c>
      <c r="M390" s="2" t="str">
        <f t="shared" si="41"/>
        <v>Thu</v>
      </c>
    </row>
    <row r="391" spans="1:13" x14ac:dyDescent="0.35">
      <c r="A391" s="4">
        <v>45471</v>
      </c>
      <c r="B391" s="2">
        <v>1525</v>
      </c>
      <c r="C391" s="2">
        <v>1525</v>
      </c>
      <c r="D391" s="2">
        <v>1533.865</v>
      </c>
      <c r="E391" s="2">
        <v>1478.5</v>
      </c>
      <c r="F391" s="1">
        <v>0</v>
      </c>
      <c r="G391" s="2">
        <f t="shared" si="36"/>
        <v>2024</v>
      </c>
      <c r="H391" s="2" t="str">
        <f t="shared" si="37"/>
        <v>Jun</v>
      </c>
      <c r="I391" s="2">
        <f t="shared" si="38"/>
        <v>6</v>
      </c>
      <c r="J391" s="2" t="str">
        <f t="shared" si="39"/>
        <v>2024-06</v>
      </c>
      <c r="K391" s="2">
        <f t="shared" si="40"/>
        <v>26</v>
      </c>
      <c r="L391" s="2">
        <f ca="1">AVERAGE(OFFSET(USD_NGN_Historical_Data__17[[#This Row],[Rate]], -6, 0, 7, 1))</f>
        <v>1517.8571428571429</v>
      </c>
      <c r="M391" s="2" t="str">
        <f t="shared" si="41"/>
        <v>Fri</v>
      </c>
    </row>
    <row r="392" spans="1:13" x14ac:dyDescent="0.35">
      <c r="A392" s="4">
        <v>45474</v>
      </c>
      <c r="B392" s="2">
        <v>1525</v>
      </c>
      <c r="C392" s="2">
        <v>1513.73</v>
      </c>
      <c r="D392" s="2">
        <v>1533.865</v>
      </c>
      <c r="E392" s="2">
        <v>1465.845</v>
      </c>
      <c r="F392" s="1">
        <v>0</v>
      </c>
      <c r="G392" s="2">
        <f t="shared" si="36"/>
        <v>2024</v>
      </c>
      <c r="H392" s="2" t="str">
        <f t="shared" si="37"/>
        <v>Jul</v>
      </c>
      <c r="I392" s="2">
        <f t="shared" si="38"/>
        <v>7</v>
      </c>
      <c r="J392" s="2" t="str">
        <f t="shared" si="39"/>
        <v>2024-07</v>
      </c>
      <c r="K392" s="2">
        <f t="shared" si="40"/>
        <v>27</v>
      </c>
      <c r="L392" s="2">
        <f ca="1">AVERAGE(OFFSET(USD_NGN_Historical_Data__17[[#This Row],[Rate]], -6, 0, 7, 1))</f>
        <v>1522.1428571428571</v>
      </c>
      <c r="M392" s="2" t="str">
        <f t="shared" si="41"/>
        <v>Mon</v>
      </c>
    </row>
    <row r="393" spans="1:13" x14ac:dyDescent="0.35">
      <c r="A393" s="4">
        <v>45475</v>
      </c>
      <c r="B393" s="2">
        <v>1535</v>
      </c>
      <c r="C393" s="2">
        <v>1525</v>
      </c>
      <c r="D393" s="2">
        <v>1535</v>
      </c>
      <c r="E393" s="2">
        <v>1470.345</v>
      </c>
      <c r="F393" s="1">
        <v>6.6E-3</v>
      </c>
      <c r="G393" s="2">
        <f t="shared" si="36"/>
        <v>2024</v>
      </c>
      <c r="H393" s="2" t="str">
        <f t="shared" si="37"/>
        <v>Jul</v>
      </c>
      <c r="I393" s="2">
        <f t="shared" si="38"/>
        <v>7</v>
      </c>
      <c r="J393" s="2" t="str">
        <f t="shared" si="39"/>
        <v>2024-07</v>
      </c>
      <c r="K393" s="2">
        <f t="shared" si="40"/>
        <v>27</v>
      </c>
      <c r="L393" s="2">
        <f ca="1">AVERAGE(OFFSET(USD_NGN_Historical_Data__17[[#This Row],[Rate]], -6, 0, 7, 1))</f>
        <v>1525</v>
      </c>
      <c r="M393" s="2" t="str">
        <f t="shared" si="41"/>
        <v>Tue</v>
      </c>
    </row>
    <row r="394" spans="1:13" x14ac:dyDescent="0.35">
      <c r="A394" s="4">
        <v>45476</v>
      </c>
      <c r="B394" s="2">
        <v>1535</v>
      </c>
      <c r="C394" s="2">
        <v>1535</v>
      </c>
      <c r="D394" s="2">
        <v>1537.925</v>
      </c>
      <c r="E394" s="2">
        <v>1474</v>
      </c>
      <c r="F394" s="1">
        <v>0</v>
      </c>
      <c r="G394" s="2">
        <f t="shared" si="36"/>
        <v>2024</v>
      </c>
      <c r="H394" s="2" t="str">
        <f t="shared" si="37"/>
        <v>Jul</v>
      </c>
      <c r="I394" s="2">
        <f t="shared" si="38"/>
        <v>7</v>
      </c>
      <c r="J394" s="2" t="str">
        <f t="shared" si="39"/>
        <v>2024-07</v>
      </c>
      <c r="K394" s="2">
        <f t="shared" si="40"/>
        <v>27</v>
      </c>
      <c r="L394" s="2">
        <f ca="1">AVERAGE(OFFSET(USD_NGN_Historical_Data__17[[#This Row],[Rate]], -6, 0, 7, 1))</f>
        <v>1527.8571428571429</v>
      </c>
      <c r="M394" s="2" t="str">
        <f t="shared" si="41"/>
        <v>Wed</v>
      </c>
    </row>
    <row r="395" spans="1:13" x14ac:dyDescent="0.35">
      <c r="A395" s="4">
        <v>45477</v>
      </c>
      <c r="B395" s="2">
        <v>1535</v>
      </c>
      <c r="C395" s="2">
        <v>1535</v>
      </c>
      <c r="D395" s="2">
        <v>1537.925</v>
      </c>
      <c r="E395" s="2">
        <v>1502.925</v>
      </c>
      <c r="F395" s="1">
        <v>0</v>
      </c>
      <c r="G395" s="2">
        <f t="shared" si="36"/>
        <v>2024</v>
      </c>
      <c r="H395" s="2" t="str">
        <f t="shared" si="37"/>
        <v>Jul</v>
      </c>
      <c r="I395" s="2">
        <f t="shared" si="38"/>
        <v>7</v>
      </c>
      <c r="J395" s="2" t="str">
        <f t="shared" si="39"/>
        <v>2024-07</v>
      </c>
      <c r="K395" s="2">
        <f t="shared" si="40"/>
        <v>27</v>
      </c>
      <c r="L395" s="2">
        <f ca="1">AVERAGE(OFFSET(USD_NGN_Historical_Data__17[[#This Row],[Rate]], -6, 0, 7, 1))</f>
        <v>1529.2857142857142</v>
      </c>
      <c r="M395" s="2" t="str">
        <f t="shared" si="41"/>
        <v>Thu</v>
      </c>
    </row>
    <row r="396" spans="1:13" x14ac:dyDescent="0.35">
      <c r="A396" s="4">
        <v>45478</v>
      </c>
      <c r="B396" s="2">
        <v>1535</v>
      </c>
      <c r="C396" s="2">
        <v>1535</v>
      </c>
      <c r="D396" s="2">
        <v>1540.175</v>
      </c>
      <c r="E396" s="2">
        <v>1474</v>
      </c>
      <c r="F396" s="1">
        <v>0</v>
      </c>
      <c r="G396" s="2">
        <f t="shared" si="36"/>
        <v>2024</v>
      </c>
      <c r="H396" s="2" t="str">
        <f t="shared" si="37"/>
        <v>Jul</v>
      </c>
      <c r="I396" s="2">
        <f t="shared" si="38"/>
        <v>7</v>
      </c>
      <c r="J396" s="2" t="str">
        <f t="shared" si="39"/>
        <v>2024-07</v>
      </c>
      <c r="K396" s="2">
        <f t="shared" si="40"/>
        <v>27</v>
      </c>
      <c r="L396" s="2">
        <f ca="1">AVERAGE(OFFSET(USD_NGN_Historical_Data__17[[#This Row],[Rate]], -6, 0, 7, 1))</f>
        <v>1530.7142857142858</v>
      </c>
      <c r="M396" s="2" t="str">
        <f t="shared" si="41"/>
        <v>Fri</v>
      </c>
    </row>
    <row r="397" spans="1:13" x14ac:dyDescent="0.35">
      <c r="A397" s="4">
        <v>45481</v>
      </c>
      <c r="B397" s="2">
        <v>1535</v>
      </c>
      <c r="C397" s="2">
        <v>1535</v>
      </c>
      <c r="D397" s="2">
        <v>1540.175</v>
      </c>
      <c r="E397" s="2">
        <v>1469.5</v>
      </c>
      <c r="F397" s="1">
        <v>0</v>
      </c>
      <c r="G397" s="2">
        <f t="shared" si="36"/>
        <v>2024</v>
      </c>
      <c r="H397" s="2" t="str">
        <f t="shared" si="37"/>
        <v>Jul</v>
      </c>
      <c r="I397" s="2">
        <f t="shared" si="38"/>
        <v>7</v>
      </c>
      <c r="J397" s="2" t="str">
        <f t="shared" si="39"/>
        <v>2024-07</v>
      </c>
      <c r="K397" s="2">
        <f t="shared" si="40"/>
        <v>28</v>
      </c>
      <c r="L397" s="2">
        <f ca="1">AVERAGE(OFFSET(USD_NGN_Historical_Data__17[[#This Row],[Rate]], -6, 0, 7, 1))</f>
        <v>1532.1428571428571</v>
      </c>
      <c r="M397" s="2" t="str">
        <f t="shared" si="41"/>
        <v>Mon</v>
      </c>
    </row>
    <row r="398" spans="1:13" x14ac:dyDescent="0.35">
      <c r="A398" s="4">
        <v>45482</v>
      </c>
      <c r="B398" s="2">
        <v>1535</v>
      </c>
      <c r="C398" s="2">
        <v>1535</v>
      </c>
      <c r="D398" s="2">
        <v>1544.25</v>
      </c>
      <c r="E398" s="2">
        <v>1505.9</v>
      </c>
      <c r="F398" s="1">
        <v>0</v>
      </c>
      <c r="G398" s="2">
        <f t="shared" si="36"/>
        <v>2024</v>
      </c>
      <c r="H398" s="2" t="str">
        <f t="shared" si="37"/>
        <v>Jul</v>
      </c>
      <c r="I398" s="2">
        <f t="shared" si="38"/>
        <v>7</v>
      </c>
      <c r="J398" s="2" t="str">
        <f t="shared" si="39"/>
        <v>2024-07</v>
      </c>
      <c r="K398" s="2">
        <f t="shared" si="40"/>
        <v>28</v>
      </c>
      <c r="L398" s="2">
        <f ca="1">AVERAGE(OFFSET(USD_NGN_Historical_Data__17[[#This Row],[Rate]], -6, 0, 7, 1))</f>
        <v>1533.5714285714287</v>
      </c>
      <c r="M398" s="2" t="str">
        <f t="shared" si="41"/>
        <v>Tue</v>
      </c>
    </row>
    <row r="399" spans="1:13" x14ac:dyDescent="0.35">
      <c r="A399" s="4">
        <v>45483</v>
      </c>
      <c r="B399" s="2">
        <v>1590</v>
      </c>
      <c r="C399" s="2">
        <v>1535</v>
      </c>
      <c r="D399" s="2">
        <v>1590</v>
      </c>
      <c r="E399" s="2">
        <v>1474</v>
      </c>
      <c r="F399" s="1">
        <v>3.5799999999999998E-2</v>
      </c>
      <c r="G399" s="2">
        <f t="shared" si="36"/>
        <v>2024</v>
      </c>
      <c r="H399" s="2" t="str">
        <f t="shared" si="37"/>
        <v>Jul</v>
      </c>
      <c r="I399" s="2">
        <f t="shared" si="38"/>
        <v>7</v>
      </c>
      <c r="J399" s="2" t="str">
        <f t="shared" si="39"/>
        <v>2024-07</v>
      </c>
      <c r="K399" s="2">
        <f t="shared" si="40"/>
        <v>28</v>
      </c>
      <c r="L399" s="2">
        <f ca="1">AVERAGE(OFFSET(USD_NGN_Historical_Data__17[[#This Row],[Rate]], -6, 0, 7, 1))</f>
        <v>1542.8571428571429</v>
      </c>
      <c r="M399" s="2" t="str">
        <f t="shared" si="41"/>
        <v>Wed</v>
      </c>
    </row>
    <row r="400" spans="1:13" x14ac:dyDescent="0.35">
      <c r="A400" s="4">
        <v>45484</v>
      </c>
      <c r="B400" s="2">
        <v>1600</v>
      </c>
      <c r="C400" s="2">
        <v>1590</v>
      </c>
      <c r="D400" s="2">
        <v>1612</v>
      </c>
      <c r="E400" s="2">
        <v>1474</v>
      </c>
      <c r="F400" s="1">
        <v>6.3E-3</v>
      </c>
      <c r="G400" s="2">
        <f t="shared" si="36"/>
        <v>2024</v>
      </c>
      <c r="H400" s="2" t="str">
        <f t="shared" si="37"/>
        <v>Jul</v>
      </c>
      <c r="I400" s="2">
        <f t="shared" si="38"/>
        <v>7</v>
      </c>
      <c r="J400" s="2" t="str">
        <f t="shared" si="39"/>
        <v>2024-07</v>
      </c>
      <c r="K400" s="2">
        <f t="shared" si="40"/>
        <v>28</v>
      </c>
      <c r="L400" s="2">
        <f ca="1">AVERAGE(OFFSET(USD_NGN_Historical_Data__17[[#This Row],[Rate]], -6, 0, 7, 1))</f>
        <v>1552.1428571428571</v>
      </c>
      <c r="M400" s="2" t="str">
        <f t="shared" si="41"/>
        <v>Thu</v>
      </c>
    </row>
    <row r="401" spans="1:13" x14ac:dyDescent="0.35">
      <c r="A401" s="4">
        <v>45485</v>
      </c>
      <c r="B401" s="2">
        <v>1600</v>
      </c>
      <c r="C401" s="2">
        <v>1600</v>
      </c>
      <c r="D401" s="2">
        <v>1605.25</v>
      </c>
      <c r="E401" s="2">
        <v>1550.875</v>
      </c>
      <c r="F401" s="1">
        <v>0</v>
      </c>
      <c r="G401" s="2">
        <f t="shared" si="36"/>
        <v>2024</v>
      </c>
      <c r="H401" s="2" t="str">
        <f t="shared" si="37"/>
        <v>Jul</v>
      </c>
      <c r="I401" s="2">
        <f t="shared" si="38"/>
        <v>7</v>
      </c>
      <c r="J401" s="2" t="str">
        <f t="shared" si="39"/>
        <v>2024-07</v>
      </c>
      <c r="K401" s="2">
        <f t="shared" si="40"/>
        <v>28</v>
      </c>
      <c r="L401" s="2">
        <f ca="1">AVERAGE(OFFSET(USD_NGN_Historical_Data__17[[#This Row],[Rate]], -6, 0, 7, 1))</f>
        <v>1561.4285714285713</v>
      </c>
      <c r="M401" s="2" t="str">
        <f t="shared" si="41"/>
        <v>Fri</v>
      </c>
    </row>
    <row r="402" spans="1:13" x14ac:dyDescent="0.35">
      <c r="A402" s="4">
        <v>45488</v>
      </c>
      <c r="B402" s="2">
        <v>1600</v>
      </c>
      <c r="C402" s="2">
        <v>1600</v>
      </c>
      <c r="D402" s="2">
        <v>1607.5</v>
      </c>
      <c r="E402" s="2">
        <v>1550.875</v>
      </c>
      <c r="F402" s="1">
        <v>0</v>
      </c>
      <c r="G402" s="2">
        <f t="shared" si="36"/>
        <v>2024</v>
      </c>
      <c r="H402" s="2" t="str">
        <f t="shared" si="37"/>
        <v>Jul</v>
      </c>
      <c r="I402" s="2">
        <f t="shared" si="38"/>
        <v>7</v>
      </c>
      <c r="J402" s="2" t="str">
        <f t="shared" si="39"/>
        <v>2024-07</v>
      </c>
      <c r="K402" s="2">
        <f t="shared" si="40"/>
        <v>29</v>
      </c>
      <c r="L402" s="2">
        <f ca="1">AVERAGE(OFFSET(USD_NGN_Historical_Data__17[[#This Row],[Rate]], -6, 0, 7, 1))</f>
        <v>1570.7142857142858</v>
      </c>
      <c r="M402" s="2" t="str">
        <f t="shared" si="41"/>
        <v>Mon</v>
      </c>
    </row>
    <row r="403" spans="1:13" x14ac:dyDescent="0.35">
      <c r="A403" s="4">
        <v>45489</v>
      </c>
      <c r="B403" s="2">
        <v>1595</v>
      </c>
      <c r="C403" s="2">
        <v>1600</v>
      </c>
      <c r="D403" s="2">
        <v>1602.8050000000001</v>
      </c>
      <c r="E403" s="2">
        <v>1513.5</v>
      </c>
      <c r="F403" s="1">
        <v>-3.0999999999999999E-3</v>
      </c>
      <c r="G403" s="2">
        <f t="shared" si="36"/>
        <v>2024</v>
      </c>
      <c r="H403" s="2" t="str">
        <f t="shared" si="37"/>
        <v>Jul</v>
      </c>
      <c r="I403" s="2">
        <f t="shared" si="38"/>
        <v>7</v>
      </c>
      <c r="J403" s="2" t="str">
        <f t="shared" si="39"/>
        <v>2024-07</v>
      </c>
      <c r="K403" s="2">
        <f t="shared" si="40"/>
        <v>29</v>
      </c>
      <c r="L403" s="2">
        <f ca="1">AVERAGE(OFFSET(USD_NGN_Historical_Data__17[[#This Row],[Rate]], -6, 0, 7, 1))</f>
        <v>1579.2857142857142</v>
      </c>
      <c r="M403" s="2" t="str">
        <f t="shared" si="41"/>
        <v>Tue</v>
      </c>
    </row>
    <row r="404" spans="1:13" x14ac:dyDescent="0.35">
      <c r="A404" s="4">
        <v>45490</v>
      </c>
      <c r="B404" s="2">
        <v>1595</v>
      </c>
      <c r="C404" s="2">
        <v>1595</v>
      </c>
      <c r="D404" s="2">
        <v>1615</v>
      </c>
      <c r="E404" s="2">
        <v>1556</v>
      </c>
      <c r="F404" s="1">
        <v>0</v>
      </c>
      <c r="G404" s="2">
        <f t="shared" si="36"/>
        <v>2024</v>
      </c>
      <c r="H404" s="2" t="str">
        <f t="shared" si="37"/>
        <v>Jul</v>
      </c>
      <c r="I404" s="2">
        <f t="shared" si="38"/>
        <v>7</v>
      </c>
      <c r="J404" s="2" t="str">
        <f t="shared" si="39"/>
        <v>2024-07</v>
      </c>
      <c r="K404" s="2">
        <f t="shared" si="40"/>
        <v>29</v>
      </c>
      <c r="L404" s="2">
        <f ca="1">AVERAGE(OFFSET(USD_NGN_Historical_Data__17[[#This Row],[Rate]], -6, 0, 7, 1))</f>
        <v>1587.8571428571429</v>
      </c>
      <c r="M404" s="2" t="str">
        <f t="shared" si="41"/>
        <v>Wed</v>
      </c>
    </row>
    <row r="405" spans="1:13" x14ac:dyDescent="0.35">
      <c r="A405" s="4">
        <v>45491</v>
      </c>
      <c r="B405" s="2">
        <v>1620</v>
      </c>
      <c r="C405" s="2">
        <v>1595</v>
      </c>
      <c r="D405" s="2">
        <v>1660</v>
      </c>
      <c r="E405" s="2">
        <v>1564.7449999999999</v>
      </c>
      <c r="F405" s="1">
        <v>1.5699999999999999E-2</v>
      </c>
      <c r="G405" s="2">
        <f t="shared" si="36"/>
        <v>2024</v>
      </c>
      <c r="H405" s="2" t="str">
        <f t="shared" si="37"/>
        <v>Jul</v>
      </c>
      <c r="I405" s="2">
        <f t="shared" si="38"/>
        <v>7</v>
      </c>
      <c r="J405" s="2" t="str">
        <f t="shared" si="39"/>
        <v>2024-07</v>
      </c>
      <c r="K405" s="2">
        <f t="shared" si="40"/>
        <v>29</v>
      </c>
      <c r="L405" s="2">
        <f ca="1">AVERAGE(OFFSET(USD_NGN_Historical_Data__17[[#This Row],[Rate]], -6, 0, 7, 1))</f>
        <v>1600</v>
      </c>
      <c r="M405" s="2" t="str">
        <f t="shared" si="41"/>
        <v>Thu</v>
      </c>
    </row>
    <row r="406" spans="1:13" x14ac:dyDescent="0.35">
      <c r="A406" s="4">
        <v>45492</v>
      </c>
      <c r="B406" s="2">
        <v>1625</v>
      </c>
      <c r="C406" s="2">
        <v>1620</v>
      </c>
      <c r="D406" s="2">
        <v>1637.5</v>
      </c>
      <c r="E406" s="2">
        <v>1574.45</v>
      </c>
      <c r="F406" s="1">
        <v>3.0999999999999999E-3</v>
      </c>
      <c r="G406" s="2">
        <f t="shared" si="36"/>
        <v>2024</v>
      </c>
      <c r="H406" s="2" t="str">
        <f t="shared" si="37"/>
        <v>Jul</v>
      </c>
      <c r="I406" s="2">
        <f t="shared" si="38"/>
        <v>7</v>
      </c>
      <c r="J406" s="2" t="str">
        <f t="shared" si="39"/>
        <v>2024-07</v>
      </c>
      <c r="K406" s="2">
        <f t="shared" si="40"/>
        <v>29</v>
      </c>
      <c r="L406" s="2">
        <f ca="1">AVERAGE(OFFSET(USD_NGN_Historical_Data__17[[#This Row],[Rate]], -6, 0, 7, 1))</f>
        <v>1605</v>
      </c>
      <c r="M406" s="2" t="str">
        <f t="shared" si="41"/>
        <v>Fri</v>
      </c>
    </row>
    <row r="407" spans="1:13" x14ac:dyDescent="0.35">
      <c r="A407" s="4">
        <v>45495</v>
      </c>
      <c r="B407" s="2">
        <v>1625</v>
      </c>
      <c r="C407" s="2">
        <v>1585.8</v>
      </c>
      <c r="D407" s="2">
        <v>1625</v>
      </c>
      <c r="E407" s="2">
        <v>1562.5</v>
      </c>
      <c r="F407" s="1">
        <v>0</v>
      </c>
      <c r="G407" s="2">
        <f t="shared" si="36"/>
        <v>2024</v>
      </c>
      <c r="H407" s="2" t="str">
        <f t="shared" si="37"/>
        <v>Jul</v>
      </c>
      <c r="I407" s="2">
        <f t="shared" si="38"/>
        <v>7</v>
      </c>
      <c r="J407" s="2" t="str">
        <f t="shared" si="39"/>
        <v>2024-07</v>
      </c>
      <c r="K407" s="2">
        <f t="shared" si="40"/>
        <v>30</v>
      </c>
      <c r="L407" s="2">
        <f ca="1">AVERAGE(OFFSET(USD_NGN_Historical_Data__17[[#This Row],[Rate]], -6, 0, 7, 1))</f>
        <v>1608.5714285714287</v>
      </c>
      <c r="M407" s="2" t="str">
        <f t="shared" si="41"/>
        <v>Mon</v>
      </c>
    </row>
    <row r="408" spans="1:13" x14ac:dyDescent="0.35">
      <c r="A408" s="4">
        <v>45496</v>
      </c>
      <c r="B408" s="2">
        <v>1625</v>
      </c>
      <c r="C408" s="2">
        <v>1625</v>
      </c>
      <c r="D408" s="2">
        <v>1625</v>
      </c>
      <c r="E408" s="2">
        <v>1510</v>
      </c>
      <c r="F408" s="1">
        <v>0</v>
      </c>
      <c r="G408" s="2">
        <f t="shared" si="36"/>
        <v>2024</v>
      </c>
      <c r="H408" s="2" t="str">
        <f t="shared" si="37"/>
        <v>Jul</v>
      </c>
      <c r="I408" s="2">
        <f t="shared" si="38"/>
        <v>7</v>
      </c>
      <c r="J408" s="2" t="str">
        <f t="shared" si="39"/>
        <v>2024-07</v>
      </c>
      <c r="K408" s="2">
        <f t="shared" si="40"/>
        <v>30</v>
      </c>
      <c r="L408" s="2">
        <f ca="1">AVERAGE(OFFSET(USD_NGN_Historical_Data__17[[#This Row],[Rate]], -6, 0, 7, 1))</f>
        <v>1612.1428571428571</v>
      </c>
      <c r="M408" s="2" t="str">
        <f t="shared" si="41"/>
        <v>Tue</v>
      </c>
    </row>
    <row r="409" spans="1:13" x14ac:dyDescent="0.35">
      <c r="A409" s="4">
        <v>45497</v>
      </c>
      <c r="B409" s="2">
        <v>1620</v>
      </c>
      <c r="C409" s="2">
        <v>1625</v>
      </c>
      <c r="D409" s="2">
        <v>1625</v>
      </c>
      <c r="E409" s="2">
        <v>1534.2750000000001</v>
      </c>
      <c r="F409" s="1">
        <v>-3.0999999999999999E-3</v>
      </c>
      <c r="G409" s="2">
        <f t="shared" si="36"/>
        <v>2024</v>
      </c>
      <c r="H409" s="2" t="str">
        <f t="shared" si="37"/>
        <v>Jul</v>
      </c>
      <c r="I409" s="2">
        <f t="shared" si="38"/>
        <v>7</v>
      </c>
      <c r="J409" s="2" t="str">
        <f t="shared" si="39"/>
        <v>2024-07</v>
      </c>
      <c r="K409" s="2">
        <f t="shared" si="40"/>
        <v>30</v>
      </c>
      <c r="L409" s="2">
        <f ca="1">AVERAGE(OFFSET(USD_NGN_Historical_Data__17[[#This Row],[Rate]], -6, 0, 7, 1))</f>
        <v>1615</v>
      </c>
      <c r="M409" s="2" t="str">
        <f t="shared" si="41"/>
        <v>Wed</v>
      </c>
    </row>
    <row r="410" spans="1:13" x14ac:dyDescent="0.35">
      <c r="A410" s="4">
        <v>45498</v>
      </c>
      <c r="B410" s="2">
        <v>1620</v>
      </c>
      <c r="C410" s="2">
        <v>1620</v>
      </c>
      <c r="D410" s="2">
        <v>1622.5</v>
      </c>
      <c r="E410" s="2">
        <v>1305</v>
      </c>
      <c r="F410" s="1">
        <v>0</v>
      </c>
      <c r="G410" s="2">
        <f t="shared" si="36"/>
        <v>2024</v>
      </c>
      <c r="H410" s="2" t="str">
        <f t="shared" si="37"/>
        <v>Jul</v>
      </c>
      <c r="I410" s="2">
        <f t="shared" si="38"/>
        <v>7</v>
      </c>
      <c r="J410" s="2" t="str">
        <f t="shared" si="39"/>
        <v>2024-07</v>
      </c>
      <c r="K410" s="2">
        <f t="shared" si="40"/>
        <v>30</v>
      </c>
      <c r="L410" s="2">
        <f ca="1">AVERAGE(OFFSET(USD_NGN_Historical_Data__17[[#This Row],[Rate]], -6, 0, 7, 1))</f>
        <v>1618.5714285714287</v>
      </c>
      <c r="M410" s="2" t="str">
        <f t="shared" si="41"/>
        <v>Thu</v>
      </c>
    </row>
    <row r="411" spans="1:13" x14ac:dyDescent="0.35">
      <c r="A411" s="4">
        <v>45499</v>
      </c>
      <c r="B411" s="2">
        <v>1620</v>
      </c>
      <c r="C411" s="2">
        <v>1620</v>
      </c>
      <c r="D411" s="2">
        <v>1629.4449999999999</v>
      </c>
      <c r="E411" s="2">
        <v>1542.09</v>
      </c>
      <c r="F411" s="1">
        <v>0</v>
      </c>
      <c r="G411" s="2">
        <f t="shared" si="36"/>
        <v>2024</v>
      </c>
      <c r="H411" s="2" t="str">
        <f t="shared" si="37"/>
        <v>Jul</v>
      </c>
      <c r="I411" s="2">
        <f t="shared" si="38"/>
        <v>7</v>
      </c>
      <c r="J411" s="2" t="str">
        <f t="shared" si="39"/>
        <v>2024-07</v>
      </c>
      <c r="K411" s="2">
        <f t="shared" si="40"/>
        <v>30</v>
      </c>
      <c r="L411" s="2">
        <f ca="1">AVERAGE(OFFSET(USD_NGN_Historical_Data__17[[#This Row],[Rate]], -6, 0, 7, 1))</f>
        <v>1622.1428571428571</v>
      </c>
      <c r="M411" s="2" t="str">
        <f t="shared" si="41"/>
        <v>Fri</v>
      </c>
    </row>
    <row r="412" spans="1:13" x14ac:dyDescent="0.35">
      <c r="A412" s="4">
        <v>45502</v>
      </c>
      <c r="B412" s="2">
        <v>1620</v>
      </c>
      <c r="C412" s="2">
        <v>1620</v>
      </c>
      <c r="D412" s="2">
        <v>1630.68</v>
      </c>
      <c r="E412" s="2">
        <v>1550.5</v>
      </c>
      <c r="F412" s="1">
        <v>0</v>
      </c>
      <c r="G412" s="2">
        <f t="shared" si="36"/>
        <v>2024</v>
      </c>
      <c r="H412" s="2" t="str">
        <f t="shared" si="37"/>
        <v>Jul</v>
      </c>
      <c r="I412" s="2">
        <f t="shared" si="38"/>
        <v>7</v>
      </c>
      <c r="J412" s="2" t="str">
        <f t="shared" si="39"/>
        <v>2024-07</v>
      </c>
      <c r="K412" s="2">
        <f t="shared" si="40"/>
        <v>31</v>
      </c>
      <c r="L412" s="2">
        <f ca="1">AVERAGE(OFFSET(USD_NGN_Historical_Data__17[[#This Row],[Rate]], -6, 0, 7, 1))</f>
        <v>1622.1428571428571</v>
      </c>
      <c r="M412" s="2" t="str">
        <f t="shared" si="41"/>
        <v>Mon</v>
      </c>
    </row>
    <row r="413" spans="1:13" x14ac:dyDescent="0.35">
      <c r="A413" s="4">
        <v>45503</v>
      </c>
      <c r="B413" s="2">
        <v>1660</v>
      </c>
      <c r="C413" s="2">
        <v>1620</v>
      </c>
      <c r="D413" s="2">
        <v>1660</v>
      </c>
      <c r="E413" s="2">
        <v>1591.68</v>
      </c>
      <c r="F413" s="1">
        <v>2.47E-2</v>
      </c>
      <c r="G413" s="2">
        <f t="shared" si="36"/>
        <v>2024</v>
      </c>
      <c r="H413" s="2" t="str">
        <f t="shared" si="37"/>
        <v>Jul</v>
      </c>
      <c r="I413" s="2">
        <f t="shared" si="38"/>
        <v>7</v>
      </c>
      <c r="J413" s="2" t="str">
        <f t="shared" si="39"/>
        <v>2024-07</v>
      </c>
      <c r="K413" s="2">
        <f t="shared" si="40"/>
        <v>31</v>
      </c>
      <c r="L413" s="2">
        <f ca="1">AVERAGE(OFFSET(USD_NGN_Historical_Data__17[[#This Row],[Rate]], -6, 0, 7, 1))</f>
        <v>1627.1428571428571</v>
      </c>
      <c r="M413" s="2" t="str">
        <f t="shared" si="41"/>
        <v>Tue</v>
      </c>
    </row>
    <row r="414" spans="1:13" x14ac:dyDescent="0.35">
      <c r="A414" s="4">
        <v>45504</v>
      </c>
      <c r="B414" s="2">
        <v>1660</v>
      </c>
      <c r="C414" s="2">
        <v>1660</v>
      </c>
      <c r="D414" s="2">
        <v>1670</v>
      </c>
      <c r="E414" s="2">
        <v>1605</v>
      </c>
      <c r="F414" s="1">
        <v>0</v>
      </c>
      <c r="G414" s="2">
        <f t="shared" si="36"/>
        <v>2024</v>
      </c>
      <c r="H414" s="2" t="str">
        <f t="shared" si="37"/>
        <v>Jul</v>
      </c>
      <c r="I414" s="2">
        <f t="shared" si="38"/>
        <v>7</v>
      </c>
      <c r="J414" s="2" t="str">
        <f t="shared" si="39"/>
        <v>2024-07</v>
      </c>
      <c r="K414" s="2">
        <f t="shared" si="40"/>
        <v>31</v>
      </c>
      <c r="L414" s="2">
        <f ca="1">AVERAGE(OFFSET(USD_NGN_Historical_Data__17[[#This Row],[Rate]], -6, 0, 7, 1))</f>
        <v>1632.1428571428571</v>
      </c>
      <c r="M414" s="2" t="str">
        <f t="shared" si="41"/>
        <v>Wed</v>
      </c>
    </row>
    <row r="415" spans="1:13" x14ac:dyDescent="0.35">
      <c r="A415" s="4">
        <v>45505</v>
      </c>
      <c r="B415" s="2">
        <v>1660</v>
      </c>
      <c r="C415" s="2">
        <v>1660</v>
      </c>
      <c r="D415" s="2">
        <v>1665</v>
      </c>
      <c r="E415" s="2">
        <v>1608.46</v>
      </c>
      <c r="F415" s="1">
        <v>0</v>
      </c>
      <c r="G415" s="2">
        <f t="shared" si="36"/>
        <v>2024</v>
      </c>
      <c r="H415" s="2" t="str">
        <f t="shared" si="37"/>
        <v>Aug</v>
      </c>
      <c r="I415" s="2">
        <f t="shared" si="38"/>
        <v>8</v>
      </c>
      <c r="J415" s="2" t="str">
        <f t="shared" si="39"/>
        <v>2024-08</v>
      </c>
      <c r="K415" s="2">
        <f t="shared" si="40"/>
        <v>31</v>
      </c>
      <c r="L415" s="2">
        <f ca="1">AVERAGE(OFFSET(USD_NGN_Historical_Data__17[[#This Row],[Rate]], -6, 0, 7, 1))</f>
        <v>1637.1428571428571</v>
      </c>
      <c r="M415" s="2" t="str">
        <f t="shared" si="41"/>
        <v>Thu</v>
      </c>
    </row>
    <row r="416" spans="1:13" x14ac:dyDescent="0.35">
      <c r="A416" s="4">
        <v>45506</v>
      </c>
      <c r="B416" s="2">
        <v>1580</v>
      </c>
      <c r="C416" s="2">
        <v>1660</v>
      </c>
      <c r="D416" s="2">
        <v>1662.5</v>
      </c>
      <c r="E416" s="2">
        <v>1580</v>
      </c>
      <c r="F416" s="1">
        <v>-4.82E-2</v>
      </c>
      <c r="G416" s="2">
        <f t="shared" si="36"/>
        <v>2024</v>
      </c>
      <c r="H416" s="2" t="str">
        <f t="shared" si="37"/>
        <v>Aug</v>
      </c>
      <c r="I416" s="2">
        <f t="shared" si="38"/>
        <v>8</v>
      </c>
      <c r="J416" s="2" t="str">
        <f t="shared" si="39"/>
        <v>2024-08</v>
      </c>
      <c r="K416" s="2">
        <f t="shared" si="40"/>
        <v>31</v>
      </c>
      <c r="L416" s="2">
        <f ca="1">AVERAGE(OFFSET(USD_NGN_Historical_Data__17[[#This Row],[Rate]], -6, 0, 7, 1))</f>
        <v>1631.4285714285713</v>
      </c>
      <c r="M416" s="2" t="str">
        <f t="shared" si="41"/>
        <v>Fri</v>
      </c>
    </row>
    <row r="417" spans="1:13" x14ac:dyDescent="0.35">
      <c r="A417" s="4">
        <v>45509</v>
      </c>
      <c r="B417" s="2">
        <v>1580</v>
      </c>
      <c r="C417" s="2">
        <v>1580</v>
      </c>
      <c r="D417" s="2">
        <v>1618.355</v>
      </c>
      <c r="E417" s="2">
        <v>1560</v>
      </c>
      <c r="F417" s="1">
        <v>0</v>
      </c>
      <c r="G417" s="2">
        <f t="shared" si="36"/>
        <v>2024</v>
      </c>
      <c r="H417" s="2" t="str">
        <f t="shared" si="37"/>
        <v>Aug</v>
      </c>
      <c r="I417" s="2">
        <f t="shared" si="38"/>
        <v>8</v>
      </c>
      <c r="J417" s="2" t="str">
        <f t="shared" si="39"/>
        <v>2024-08</v>
      </c>
      <c r="K417" s="2">
        <f t="shared" si="40"/>
        <v>32</v>
      </c>
      <c r="L417" s="2">
        <f ca="1">AVERAGE(OFFSET(USD_NGN_Historical_Data__17[[#This Row],[Rate]], -6, 0, 7, 1))</f>
        <v>1625.7142857142858</v>
      </c>
      <c r="M417" s="2" t="str">
        <f t="shared" si="41"/>
        <v>Mon</v>
      </c>
    </row>
    <row r="418" spans="1:13" x14ac:dyDescent="0.35">
      <c r="A418" s="4">
        <v>45510</v>
      </c>
      <c r="B418" s="2">
        <v>1580</v>
      </c>
      <c r="C418" s="2">
        <v>1580</v>
      </c>
      <c r="D418" s="2">
        <v>1630.855</v>
      </c>
      <c r="E418" s="2">
        <v>1579.26</v>
      </c>
      <c r="F418" s="1">
        <v>0</v>
      </c>
      <c r="G418" s="2">
        <f t="shared" si="36"/>
        <v>2024</v>
      </c>
      <c r="H418" s="2" t="str">
        <f t="shared" si="37"/>
        <v>Aug</v>
      </c>
      <c r="I418" s="2">
        <f t="shared" si="38"/>
        <v>8</v>
      </c>
      <c r="J418" s="2" t="str">
        <f t="shared" si="39"/>
        <v>2024-08</v>
      </c>
      <c r="K418" s="2">
        <f t="shared" si="40"/>
        <v>32</v>
      </c>
      <c r="L418" s="2">
        <f ca="1">AVERAGE(OFFSET(USD_NGN_Historical_Data__17[[#This Row],[Rate]], -6, 0, 7, 1))</f>
        <v>1620</v>
      </c>
      <c r="M418" s="2" t="str">
        <f t="shared" si="41"/>
        <v>Tue</v>
      </c>
    </row>
    <row r="419" spans="1:13" x14ac:dyDescent="0.35">
      <c r="A419" s="4">
        <v>45511</v>
      </c>
      <c r="B419" s="2">
        <v>1555</v>
      </c>
      <c r="C419" s="2">
        <v>1580</v>
      </c>
      <c r="D419" s="2">
        <v>1618.26</v>
      </c>
      <c r="E419" s="2">
        <v>1510</v>
      </c>
      <c r="F419" s="1">
        <v>-1.5800000000000002E-2</v>
      </c>
      <c r="G419" s="2">
        <f t="shared" si="36"/>
        <v>2024</v>
      </c>
      <c r="H419" s="2" t="str">
        <f t="shared" si="37"/>
        <v>Aug</v>
      </c>
      <c r="I419" s="2">
        <f t="shared" si="38"/>
        <v>8</v>
      </c>
      <c r="J419" s="2" t="str">
        <f t="shared" si="39"/>
        <v>2024-08</v>
      </c>
      <c r="K419" s="2">
        <f t="shared" si="40"/>
        <v>32</v>
      </c>
      <c r="L419" s="2">
        <f ca="1">AVERAGE(OFFSET(USD_NGN_Historical_Data__17[[#This Row],[Rate]], -6, 0, 7, 1))</f>
        <v>1610.7142857142858</v>
      </c>
      <c r="M419" s="2" t="str">
        <f t="shared" si="41"/>
        <v>Wed</v>
      </c>
    </row>
    <row r="420" spans="1:13" x14ac:dyDescent="0.35">
      <c r="A420" s="4">
        <v>45512</v>
      </c>
      <c r="B420" s="2">
        <v>1590</v>
      </c>
      <c r="C420" s="2">
        <v>1555</v>
      </c>
      <c r="D420" s="2">
        <v>1627.76</v>
      </c>
      <c r="E420" s="2">
        <v>1535</v>
      </c>
      <c r="F420" s="1">
        <v>2.2499999999999999E-2</v>
      </c>
      <c r="G420" s="2">
        <f t="shared" si="36"/>
        <v>2024</v>
      </c>
      <c r="H420" s="2" t="str">
        <f t="shared" si="37"/>
        <v>Aug</v>
      </c>
      <c r="I420" s="2">
        <f t="shared" si="38"/>
        <v>8</v>
      </c>
      <c r="J420" s="2" t="str">
        <f t="shared" si="39"/>
        <v>2024-08</v>
      </c>
      <c r="K420" s="2">
        <f t="shared" si="40"/>
        <v>32</v>
      </c>
      <c r="L420" s="2">
        <f ca="1">AVERAGE(OFFSET(USD_NGN_Historical_Data__17[[#This Row],[Rate]], -6, 0, 7, 1))</f>
        <v>1600.7142857142858</v>
      </c>
      <c r="M420" s="2" t="str">
        <f t="shared" si="41"/>
        <v>Thu</v>
      </c>
    </row>
    <row r="421" spans="1:13" x14ac:dyDescent="0.35">
      <c r="A421" s="4">
        <v>45513</v>
      </c>
      <c r="B421" s="2">
        <v>1583.03</v>
      </c>
      <c r="C421" s="2">
        <v>1590</v>
      </c>
      <c r="D421" s="2">
        <v>1633.04</v>
      </c>
      <c r="E421" s="2">
        <v>1555</v>
      </c>
      <c r="F421" s="1">
        <v>-4.4000000000000003E-3</v>
      </c>
      <c r="G421" s="2">
        <f t="shared" si="36"/>
        <v>2024</v>
      </c>
      <c r="H421" s="2" t="str">
        <f t="shared" si="37"/>
        <v>Aug</v>
      </c>
      <c r="I421" s="2">
        <f t="shared" si="38"/>
        <v>8</v>
      </c>
      <c r="J421" s="2" t="str">
        <f t="shared" si="39"/>
        <v>2024-08</v>
      </c>
      <c r="K421" s="2">
        <f t="shared" si="40"/>
        <v>32</v>
      </c>
      <c r="L421" s="2">
        <f ca="1">AVERAGE(OFFSET(USD_NGN_Historical_Data__17[[#This Row],[Rate]], -6, 0, 7, 1))</f>
        <v>1589.7185714285715</v>
      </c>
      <c r="M421" s="2" t="str">
        <f t="shared" si="41"/>
        <v>Fri</v>
      </c>
    </row>
    <row r="422" spans="1:13" x14ac:dyDescent="0.35">
      <c r="A422" s="4">
        <v>45516</v>
      </c>
      <c r="B422" s="2">
        <v>1590</v>
      </c>
      <c r="C422" s="2">
        <v>1590</v>
      </c>
      <c r="D422" s="2">
        <v>1616.5150000000001</v>
      </c>
      <c r="E422" s="2">
        <v>1555</v>
      </c>
      <c r="F422" s="1">
        <v>4.4000000000000003E-3</v>
      </c>
      <c r="G422" s="2">
        <f t="shared" si="36"/>
        <v>2024</v>
      </c>
      <c r="H422" s="2" t="str">
        <f t="shared" si="37"/>
        <v>Aug</v>
      </c>
      <c r="I422" s="2">
        <f t="shared" si="38"/>
        <v>8</v>
      </c>
      <c r="J422" s="2" t="str">
        <f t="shared" si="39"/>
        <v>2024-08</v>
      </c>
      <c r="K422" s="2">
        <f t="shared" si="40"/>
        <v>33</v>
      </c>
      <c r="L422" s="2">
        <f ca="1">AVERAGE(OFFSET(USD_NGN_Historical_Data__17[[#This Row],[Rate]], -6, 0, 7, 1))</f>
        <v>1579.7185714285715</v>
      </c>
      <c r="M422" s="2" t="str">
        <f t="shared" si="41"/>
        <v>Mon</v>
      </c>
    </row>
    <row r="423" spans="1:13" x14ac:dyDescent="0.35">
      <c r="A423" s="4">
        <v>45517</v>
      </c>
      <c r="B423" s="2">
        <v>1590</v>
      </c>
      <c r="C423" s="2">
        <v>1590</v>
      </c>
      <c r="D423" s="2">
        <v>1611.51</v>
      </c>
      <c r="E423" s="2">
        <v>1552.5</v>
      </c>
      <c r="F423" s="1">
        <v>0</v>
      </c>
      <c r="G423" s="2">
        <f t="shared" si="36"/>
        <v>2024</v>
      </c>
      <c r="H423" s="2" t="str">
        <f t="shared" si="37"/>
        <v>Aug</v>
      </c>
      <c r="I423" s="2">
        <f t="shared" si="38"/>
        <v>8</v>
      </c>
      <c r="J423" s="2" t="str">
        <f t="shared" si="39"/>
        <v>2024-08</v>
      </c>
      <c r="K423" s="2">
        <f t="shared" si="40"/>
        <v>33</v>
      </c>
      <c r="L423" s="2">
        <f ca="1">AVERAGE(OFFSET(USD_NGN_Historical_Data__17[[#This Row],[Rate]], -6, 0, 7, 1))</f>
        <v>1581.1471428571426</v>
      </c>
      <c r="M423" s="2" t="str">
        <f t="shared" si="41"/>
        <v>Tue</v>
      </c>
    </row>
    <row r="424" spans="1:13" x14ac:dyDescent="0.35">
      <c r="A424" s="4">
        <v>45518</v>
      </c>
      <c r="B424" s="2">
        <v>1590</v>
      </c>
      <c r="C424" s="2">
        <v>1590</v>
      </c>
      <c r="D424" s="2">
        <v>1615</v>
      </c>
      <c r="E424" s="2">
        <v>1555.0250000000001</v>
      </c>
      <c r="F424" s="1">
        <v>0</v>
      </c>
      <c r="G424" s="2">
        <f t="shared" si="36"/>
        <v>2024</v>
      </c>
      <c r="H424" s="2" t="str">
        <f t="shared" si="37"/>
        <v>Aug</v>
      </c>
      <c r="I424" s="2">
        <f t="shared" si="38"/>
        <v>8</v>
      </c>
      <c r="J424" s="2" t="str">
        <f t="shared" si="39"/>
        <v>2024-08</v>
      </c>
      <c r="K424" s="2">
        <f t="shared" si="40"/>
        <v>33</v>
      </c>
      <c r="L424" s="2">
        <f ca="1">AVERAGE(OFFSET(USD_NGN_Historical_Data__17[[#This Row],[Rate]], -6, 0, 7, 1))</f>
        <v>1582.5757142857142</v>
      </c>
      <c r="M424" s="2" t="str">
        <f t="shared" si="41"/>
        <v>Wed</v>
      </c>
    </row>
    <row r="425" spans="1:13" x14ac:dyDescent="0.35">
      <c r="A425" s="4">
        <v>45519</v>
      </c>
      <c r="B425" s="2">
        <v>1590</v>
      </c>
      <c r="C425" s="2">
        <v>1590</v>
      </c>
      <c r="D425" s="2">
        <v>1609.885</v>
      </c>
      <c r="E425" s="2">
        <v>1557.7</v>
      </c>
      <c r="F425" s="1">
        <v>0</v>
      </c>
      <c r="G425" s="2">
        <f t="shared" si="36"/>
        <v>2024</v>
      </c>
      <c r="H425" s="2" t="str">
        <f t="shared" si="37"/>
        <v>Aug</v>
      </c>
      <c r="I425" s="2">
        <f t="shared" si="38"/>
        <v>8</v>
      </c>
      <c r="J425" s="2" t="str">
        <f t="shared" si="39"/>
        <v>2024-08</v>
      </c>
      <c r="K425" s="2">
        <f t="shared" si="40"/>
        <v>33</v>
      </c>
      <c r="L425" s="2">
        <f ca="1">AVERAGE(OFFSET(USD_NGN_Historical_Data__17[[#This Row],[Rate]], -6, 0, 7, 1))</f>
        <v>1584.0042857142855</v>
      </c>
      <c r="M425" s="2" t="str">
        <f t="shared" si="41"/>
        <v>Thu</v>
      </c>
    </row>
    <row r="426" spans="1:13" x14ac:dyDescent="0.35">
      <c r="A426" s="4">
        <v>45520</v>
      </c>
      <c r="B426" s="2">
        <v>1590</v>
      </c>
      <c r="C426" s="2">
        <v>1590</v>
      </c>
      <c r="D426" s="2">
        <v>1622.17</v>
      </c>
      <c r="E426" s="2">
        <v>1560.885</v>
      </c>
      <c r="F426" s="1">
        <v>0</v>
      </c>
      <c r="G426" s="2">
        <f t="shared" si="36"/>
        <v>2024</v>
      </c>
      <c r="H426" s="2" t="str">
        <f t="shared" si="37"/>
        <v>Aug</v>
      </c>
      <c r="I426" s="2">
        <f t="shared" si="38"/>
        <v>8</v>
      </c>
      <c r="J426" s="2" t="str">
        <f t="shared" si="39"/>
        <v>2024-08</v>
      </c>
      <c r="K426" s="2">
        <f t="shared" si="40"/>
        <v>33</v>
      </c>
      <c r="L426" s="2">
        <f ca="1">AVERAGE(OFFSET(USD_NGN_Historical_Data__17[[#This Row],[Rate]], -6, 0, 7, 1))</f>
        <v>1589.0042857142855</v>
      </c>
      <c r="M426" s="2" t="str">
        <f t="shared" si="41"/>
        <v>Fri</v>
      </c>
    </row>
    <row r="427" spans="1:13" x14ac:dyDescent="0.35">
      <c r="A427" s="4">
        <v>45523</v>
      </c>
      <c r="B427" s="2">
        <v>1590</v>
      </c>
      <c r="C427" s="2">
        <v>1585.34</v>
      </c>
      <c r="D427" s="2">
        <v>1624.67</v>
      </c>
      <c r="E427" s="2">
        <v>1557.5</v>
      </c>
      <c r="F427" s="1">
        <v>0</v>
      </c>
      <c r="G427" s="2">
        <f t="shared" si="36"/>
        <v>2024</v>
      </c>
      <c r="H427" s="2" t="str">
        <f t="shared" si="37"/>
        <v>Aug</v>
      </c>
      <c r="I427" s="2">
        <f t="shared" si="38"/>
        <v>8</v>
      </c>
      <c r="J427" s="2" t="str">
        <f t="shared" si="39"/>
        <v>2024-08</v>
      </c>
      <c r="K427" s="2">
        <f t="shared" si="40"/>
        <v>34</v>
      </c>
      <c r="L427" s="2">
        <f ca="1">AVERAGE(OFFSET(USD_NGN_Historical_Data__17[[#This Row],[Rate]], -6, 0, 7, 1))</f>
        <v>1589.0042857142855</v>
      </c>
      <c r="M427" s="2" t="str">
        <f t="shared" si="41"/>
        <v>Mon</v>
      </c>
    </row>
    <row r="428" spans="1:13" x14ac:dyDescent="0.35">
      <c r="A428" s="4">
        <v>45524</v>
      </c>
      <c r="B428" s="2">
        <v>1575</v>
      </c>
      <c r="C428" s="2">
        <v>1590</v>
      </c>
      <c r="D428" s="2">
        <v>1608.885</v>
      </c>
      <c r="E428" s="2">
        <v>1558.345</v>
      </c>
      <c r="F428" s="1">
        <v>-9.4000000000000004E-3</v>
      </c>
      <c r="G428" s="2">
        <f t="shared" si="36"/>
        <v>2024</v>
      </c>
      <c r="H428" s="2" t="str">
        <f t="shared" si="37"/>
        <v>Aug</v>
      </c>
      <c r="I428" s="2">
        <f t="shared" si="38"/>
        <v>8</v>
      </c>
      <c r="J428" s="2" t="str">
        <f t="shared" si="39"/>
        <v>2024-08</v>
      </c>
      <c r="K428" s="2">
        <f t="shared" si="40"/>
        <v>34</v>
      </c>
      <c r="L428" s="2">
        <f ca="1">AVERAGE(OFFSET(USD_NGN_Historical_Data__17[[#This Row],[Rate]], -6, 0, 7, 1))</f>
        <v>1587.8571428571429</v>
      </c>
      <c r="M428" s="2" t="str">
        <f t="shared" si="41"/>
        <v>Tue</v>
      </c>
    </row>
    <row r="429" spans="1:13" x14ac:dyDescent="0.35">
      <c r="A429" s="4">
        <v>45525</v>
      </c>
      <c r="B429" s="2">
        <v>1575</v>
      </c>
      <c r="C429" s="2">
        <v>1575.69</v>
      </c>
      <c r="D429" s="2">
        <v>1606.175</v>
      </c>
      <c r="E429" s="2">
        <v>1563.345</v>
      </c>
      <c r="F429" s="1">
        <v>0</v>
      </c>
      <c r="G429" s="2">
        <f t="shared" si="36"/>
        <v>2024</v>
      </c>
      <c r="H429" s="2" t="str">
        <f t="shared" si="37"/>
        <v>Aug</v>
      </c>
      <c r="I429" s="2">
        <f t="shared" si="38"/>
        <v>8</v>
      </c>
      <c r="J429" s="2" t="str">
        <f t="shared" si="39"/>
        <v>2024-08</v>
      </c>
      <c r="K429" s="2">
        <f t="shared" si="40"/>
        <v>34</v>
      </c>
      <c r="L429" s="2">
        <f ca="1">AVERAGE(OFFSET(USD_NGN_Historical_Data__17[[#This Row],[Rate]], -6, 0, 7, 1))</f>
        <v>1585.7142857142858</v>
      </c>
      <c r="M429" s="2" t="str">
        <f t="shared" si="41"/>
        <v>Wed</v>
      </c>
    </row>
    <row r="430" spans="1:13" x14ac:dyDescent="0.35">
      <c r="A430" s="4">
        <v>45526</v>
      </c>
      <c r="B430" s="2">
        <v>1575</v>
      </c>
      <c r="C430" s="2">
        <v>1575</v>
      </c>
      <c r="D430" s="2">
        <v>1600</v>
      </c>
      <c r="E430" s="2">
        <v>1560.5150000000001</v>
      </c>
      <c r="F430" s="1">
        <v>0</v>
      </c>
      <c r="G430" s="2">
        <f t="shared" si="36"/>
        <v>2024</v>
      </c>
      <c r="H430" s="2" t="str">
        <f t="shared" si="37"/>
        <v>Aug</v>
      </c>
      <c r="I430" s="2">
        <f t="shared" si="38"/>
        <v>8</v>
      </c>
      <c r="J430" s="2" t="str">
        <f t="shared" si="39"/>
        <v>2024-08</v>
      </c>
      <c r="K430" s="2">
        <f t="shared" si="40"/>
        <v>34</v>
      </c>
      <c r="L430" s="2">
        <f ca="1">AVERAGE(OFFSET(USD_NGN_Historical_Data__17[[#This Row],[Rate]], -6, 0, 7, 1))</f>
        <v>1583.5714285714287</v>
      </c>
      <c r="M430" s="2" t="str">
        <f t="shared" si="41"/>
        <v>Thu</v>
      </c>
    </row>
    <row r="431" spans="1:13" x14ac:dyDescent="0.35">
      <c r="A431" s="4">
        <v>45527</v>
      </c>
      <c r="B431" s="2">
        <v>1575</v>
      </c>
      <c r="C431" s="2">
        <v>1575</v>
      </c>
      <c r="D431" s="2">
        <v>1608.4849999999999</v>
      </c>
      <c r="E431" s="2">
        <v>1560.5150000000001</v>
      </c>
      <c r="F431" s="1">
        <v>0</v>
      </c>
      <c r="G431" s="2">
        <f t="shared" si="36"/>
        <v>2024</v>
      </c>
      <c r="H431" s="2" t="str">
        <f t="shared" si="37"/>
        <v>Aug</v>
      </c>
      <c r="I431" s="2">
        <f t="shared" si="38"/>
        <v>8</v>
      </c>
      <c r="J431" s="2" t="str">
        <f t="shared" si="39"/>
        <v>2024-08</v>
      </c>
      <c r="K431" s="2">
        <f t="shared" si="40"/>
        <v>34</v>
      </c>
      <c r="L431" s="2">
        <f ca="1">AVERAGE(OFFSET(USD_NGN_Historical_Data__17[[#This Row],[Rate]], -6, 0, 7, 1))</f>
        <v>1581.4285714285713</v>
      </c>
      <c r="M431" s="2" t="str">
        <f t="shared" si="41"/>
        <v>Fri</v>
      </c>
    </row>
    <row r="432" spans="1:13" x14ac:dyDescent="0.35">
      <c r="A432" s="4">
        <v>45530</v>
      </c>
      <c r="B432" s="2">
        <v>1590</v>
      </c>
      <c r="C432" s="2">
        <v>1592.97</v>
      </c>
      <c r="D432" s="2">
        <v>1603.4849999999999</v>
      </c>
      <c r="E432" s="2">
        <v>1569.07</v>
      </c>
      <c r="F432" s="1">
        <v>9.4999999999999998E-3</v>
      </c>
      <c r="G432" s="2">
        <f t="shared" si="36"/>
        <v>2024</v>
      </c>
      <c r="H432" s="2" t="str">
        <f t="shared" si="37"/>
        <v>Aug</v>
      </c>
      <c r="I432" s="2">
        <f t="shared" si="38"/>
        <v>8</v>
      </c>
      <c r="J432" s="2" t="str">
        <f t="shared" si="39"/>
        <v>2024-08</v>
      </c>
      <c r="K432" s="2">
        <f t="shared" si="40"/>
        <v>35</v>
      </c>
      <c r="L432" s="2">
        <f ca="1">AVERAGE(OFFSET(USD_NGN_Historical_Data__17[[#This Row],[Rate]], -6, 0, 7, 1))</f>
        <v>1581.4285714285713</v>
      </c>
      <c r="M432" s="2" t="str">
        <f t="shared" si="41"/>
        <v>Mon</v>
      </c>
    </row>
    <row r="433" spans="1:13" x14ac:dyDescent="0.35">
      <c r="A433" s="4">
        <v>45531</v>
      </c>
      <c r="B433" s="2">
        <v>1590</v>
      </c>
      <c r="C433" s="2">
        <v>1590</v>
      </c>
      <c r="D433" s="2">
        <v>1610</v>
      </c>
      <c r="E433" s="2">
        <v>1576.57</v>
      </c>
      <c r="F433" s="1">
        <v>0</v>
      </c>
      <c r="G433" s="2">
        <f t="shared" si="36"/>
        <v>2024</v>
      </c>
      <c r="H433" s="2" t="str">
        <f t="shared" si="37"/>
        <v>Aug</v>
      </c>
      <c r="I433" s="2">
        <f t="shared" si="38"/>
        <v>8</v>
      </c>
      <c r="J433" s="2" t="str">
        <f t="shared" si="39"/>
        <v>2024-08</v>
      </c>
      <c r="K433" s="2">
        <f t="shared" si="40"/>
        <v>35</v>
      </c>
      <c r="L433" s="2">
        <f ca="1">AVERAGE(OFFSET(USD_NGN_Historical_Data__17[[#This Row],[Rate]], -6, 0, 7, 1))</f>
        <v>1581.4285714285713</v>
      </c>
      <c r="M433" s="2" t="str">
        <f t="shared" si="41"/>
        <v>Tue</v>
      </c>
    </row>
    <row r="434" spans="1:13" x14ac:dyDescent="0.35">
      <c r="A434" s="4">
        <v>45532</v>
      </c>
      <c r="B434" s="2">
        <v>1590</v>
      </c>
      <c r="C434" s="2">
        <v>1590</v>
      </c>
      <c r="D434" s="2">
        <v>1612.5</v>
      </c>
      <c r="E434" s="2">
        <v>1576.57</v>
      </c>
      <c r="F434" s="1">
        <v>0</v>
      </c>
      <c r="G434" s="2">
        <f t="shared" si="36"/>
        <v>2024</v>
      </c>
      <c r="H434" s="2" t="str">
        <f t="shared" si="37"/>
        <v>Aug</v>
      </c>
      <c r="I434" s="2">
        <f t="shared" si="38"/>
        <v>8</v>
      </c>
      <c r="J434" s="2" t="str">
        <f t="shared" si="39"/>
        <v>2024-08</v>
      </c>
      <c r="K434" s="2">
        <f t="shared" si="40"/>
        <v>35</v>
      </c>
      <c r="L434" s="2">
        <f ca="1">AVERAGE(OFFSET(USD_NGN_Historical_Data__17[[#This Row],[Rate]], -6, 0, 7, 1))</f>
        <v>1581.4285714285713</v>
      </c>
      <c r="M434" s="2" t="str">
        <f t="shared" si="41"/>
        <v>Wed</v>
      </c>
    </row>
    <row r="435" spans="1:13" x14ac:dyDescent="0.35">
      <c r="A435" s="4">
        <v>45533</v>
      </c>
      <c r="B435" s="2">
        <v>1590</v>
      </c>
      <c r="C435" s="2">
        <v>1590</v>
      </c>
      <c r="D435" s="2">
        <v>1611.4</v>
      </c>
      <c r="E435" s="2">
        <v>1579.075</v>
      </c>
      <c r="F435" s="1">
        <v>0</v>
      </c>
      <c r="G435" s="2">
        <f t="shared" si="36"/>
        <v>2024</v>
      </c>
      <c r="H435" s="2" t="str">
        <f t="shared" si="37"/>
        <v>Aug</v>
      </c>
      <c r="I435" s="2">
        <f t="shared" si="38"/>
        <v>8</v>
      </c>
      <c r="J435" s="2" t="str">
        <f t="shared" si="39"/>
        <v>2024-08</v>
      </c>
      <c r="K435" s="2">
        <f t="shared" si="40"/>
        <v>35</v>
      </c>
      <c r="L435" s="2">
        <f ca="1">AVERAGE(OFFSET(USD_NGN_Historical_Data__17[[#This Row],[Rate]], -6, 0, 7, 1))</f>
        <v>1583.5714285714287</v>
      </c>
      <c r="M435" s="2" t="str">
        <f t="shared" si="41"/>
        <v>Thu</v>
      </c>
    </row>
    <row r="436" spans="1:13" x14ac:dyDescent="0.35">
      <c r="A436" s="4">
        <v>45534</v>
      </c>
      <c r="B436" s="2">
        <v>1590</v>
      </c>
      <c r="C436" s="2">
        <v>1590</v>
      </c>
      <c r="D436" s="2">
        <v>1608.9</v>
      </c>
      <c r="E436" s="2">
        <v>1582.32</v>
      </c>
      <c r="F436" s="1">
        <v>0</v>
      </c>
      <c r="G436" s="2">
        <f t="shared" si="36"/>
        <v>2024</v>
      </c>
      <c r="H436" s="2" t="str">
        <f t="shared" si="37"/>
        <v>Aug</v>
      </c>
      <c r="I436" s="2">
        <f t="shared" si="38"/>
        <v>8</v>
      </c>
      <c r="J436" s="2" t="str">
        <f t="shared" si="39"/>
        <v>2024-08</v>
      </c>
      <c r="K436" s="2">
        <f t="shared" si="40"/>
        <v>35</v>
      </c>
      <c r="L436" s="2">
        <f ca="1">AVERAGE(OFFSET(USD_NGN_Historical_Data__17[[#This Row],[Rate]], -6, 0, 7, 1))</f>
        <v>1585.7142857142858</v>
      </c>
      <c r="M436" s="2" t="str">
        <f t="shared" si="41"/>
        <v>Fri</v>
      </c>
    </row>
    <row r="437" spans="1:13" x14ac:dyDescent="0.35">
      <c r="A437" s="4">
        <v>45537</v>
      </c>
      <c r="B437" s="2">
        <v>1590</v>
      </c>
      <c r="C437" s="2">
        <v>1598.64</v>
      </c>
      <c r="D437" s="2">
        <v>1606.32</v>
      </c>
      <c r="E437" s="2">
        <v>1582.32</v>
      </c>
      <c r="F437" s="1">
        <v>0</v>
      </c>
      <c r="G437" s="2">
        <f t="shared" si="36"/>
        <v>2024</v>
      </c>
      <c r="H437" s="2" t="str">
        <f t="shared" si="37"/>
        <v>Sep</v>
      </c>
      <c r="I437" s="2">
        <f t="shared" si="38"/>
        <v>9</v>
      </c>
      <c r="J437" s="2" t="str">
        <f t="shared" si="39"/>
        <v>2024-09</v>
      </c>
      <c r="K437" s="2">
        <f t="shared" si="40"/>
        <v>36</v>
      </c>
      <c r="L437" s="2">
        <f ca="1">AVERAGE(OFFSET(USD_NGN_Historical_Data__17[[#This Row],[Rate]], -6, 0, 7, 1))</f>
        <v>1587.8571428571429</v>
      </c>
      <c r="M437" s="2" t="str">
        <f t="shared" si="41"/>
        <v>Mon</v>
      </c>
    </row>
    <row r="438" spans="1:13" x14ac:dyDescent="0.35">
      <c r="A438" s="4">
        <v>45538</v>
      </c>
      <c r="B438" s="2">
        <v>1590</v>
      </c>
      <c r="C438" s="2">
        <v>1590</v>
      </c>
      <c r="D438" s="2">
        <v>1610</v>
      </c>
      <c r="E438" s="2">
        <v>1582.135</v>
      </c>
      <c r="F438" s="1">
        <v>0</v>
      </c>
      <c r="G438" s="2">
        <f t="shared" si="36"/>
        <v>2024</v>
      </c>
      <c r="H438" s="2" t="str">
        <f t="shared" si="37"/>
        <v>Sep</v>
      </c>
      <c r="I438" s="2">
        <f t="shared" si="38"/>
        <v>9</v>
      </c>
      <c r="J438" s="2" t="str">
        <f t="shared" si="39"/>
        <v>2024-09</v>
      </c>
      <c r="K438" s="2">
        <f t="shared" si="40"/>
        <v>36</v>
      </c>
      <c r="L438" s="2">
        <f ca="1">AVERAGE(OFFSET(USD_NGN_Historical_Data__17[[#This Row],[Rate]], -6, 0, 7, 1))</f>
        <v>1590</v>
      </c>
      <c r="M438" s="2" t="str">
        <f t="shared" si="41"/>
        <v>Tue</v>
      </c>
    </row>
    <row r="439" spans="1:13" x14ac:dyDescent="0.35">
      <c r="A439" s="4">
        <v>45539</v>
      </c>
      <c r="B439" s="2">
        <v>1605</v>
      </c>
      <c r="C439" s="2">
        <v>1590</v>
      </c>
      <c r="D439" s="2">
        <v>1617.5</v>
      </c>
      <c r="E439" s="2">
        <v>1580.5350000000001</v>
      </c>
      <c r="F439" s="1">
        <v>9.4000000000000004E-3</v>
      </c>
      <c r="G439" s="2">
        <f t="shared" si="36"/>
        <v>2024</v>
      </c>
      <c r="H439" s="2" t="str">
        <f t="shared" si="37"/>
        <v>Sep</v>
      </c>
      <c r="I439" s="2">
        <f t="shared" si="38"/>
        <v>9</v>
      </c>
      <c r="J439" s="2" t="str">
        <f t="shared" si="39"/>
        <v>2024-09</v>
      </c>
      <c r="K439" s="2">
        <f t="shared" si="40"/>
        <v>36</v>
      </c>
      <c r="L439" s="2">
        <f ca="1">AVERAGE(OFFSET(USD_NGN_Historical_Data__17[[#This Row],[Rate]], -6, 0, 7, 1))</f>
        <v>1592.1428571428571</v>
      </c>
      <c r="M439" s="2" t="str">
        <f t="shared" si="41"/>
        <v>Wed</v>
      </c>
    </row>
    <row r="440" spans="1:13" x14ac:dyDescent="0.35">
      <c r="A440" s="4">
        <v>45540</v>
      </c>
      <c r="B440" s="2">
        <v>1605</v>
      </c>
      <c r="C440" s="2">
        <v>1605</v>
      </c>
      <c r="D440" s="2">
        <v>1625.375</v>
      </c>
      <c r="E440" s="2">
        <v>1588.0350000000001</v>
      </c>
      <c r="F440" s="1">
        <v>0</v>
      </c>
      <c r="G440" s="2">
        <f t="shared" si="36"/>
        <v>2024</v>
      </c>
      <c r="H440" s="2" t="str">
        <f t="shared" si="37"/>
        <v>Sep</v>
      </c>
      <c r="I440" s="2">
        <f t="shared" si="38"/>
        <v>9</v>
      </c>
      <c r="J440" s="2" t="str">
        <f t="shared" si="39"/>
        <v>2024-09</v>
      </c>
      <c r="K440" s="2">
        <f t="shared" si="40"/>
        <v>36</v>
      </c>
      <c r="L440" s="2">
        <f ca="1">AVERAGE(OFFSET(USD_NGN_Historical_Data__17[[#This Row],[Rate]], -6, 0, 7, 1))</f>
        <v>1594.2857142857142</v>
      </c>
      <c r="M440" s="2" t="str">
        <f t="shared" si="41"/>
        <v>Thu</v>
      </c>
    </row>
    <row r="441" spans="1:13" x14ac:dyDescent="0.35">
      <c r="A441" s="4">
        <v>45541</v>
      </c>
      <c r="B441" s="2">
        <v>1605</v>
      </c>
      <c r="C441" s="2">
        <v>1605</v>
      </c>
      <c r="D441" s="2">
        <v>1640</v>
      </c>
      <c r="E441" s="2">
        <v>1601.01</v>
      </c>
      <c r="F441" s="1">
        <v>0</v>
      </c>
      <c r="G441" s="2">
        <f t="shared" si="36"/>
        <v>2024</v>
      </c>
      <c r="H441" s="2" t="str">
        <f t="shared" si="37"/>
        <v>Sep</v>
      </c>
      <c r="I441" s="2">
        <f t="shared" si="38"/>
        <v>9</v>
      </c>
      <c r="J441" s="2" t="str">
        <f t="shared" si="39"/>
        <v>2024-09</v>
      </c>
      <c r="K441" s="2">
        <f t="shared" si="40"/>
        <v>36</v>
      </c>
      <c r="L441" s="2">
        <f ca="1">AVERAGE(OFFSET(USD_NGN_Historical_Data__17[[#This Row],[Rate]], -6, 0, 7, 1))</f>
        <v>1596.4285714285713</v>
      </c>
      <c r="M441" s="2" t="str">
        <f t="shared" si="41"/>
        <v>Fri</v>
      </c>
    </row>
    <row r="442" spans="1:13" x14ac:dyDescent="0.35">
      <c r="A442" s="4">
        <v>45544</v>
      </c>
      <c r="B442" s="2">
        <v>1645</v>
      </c>
      <c r="C442" s="2">
        <v>1621.02</v>
      </c>
      <c r="D442" s="2">
        <v>1649.325</v>
      </c>
      <c r="E442" s="2">
        <v>1600</v>
      </c>
      <c r="F442" s="1">
        <v>2.4899999999999999E-2</v>
      </c>
      <c r="G442" s="2">
        <f t="shared" si="36"/>
        <v>2024</v>
      </c>
      <c r="H442" s="2" t="str">
        <f t="shared" si="37"/>
        <v>Sep</v>
      </c>
      <c r="I442" s="2">
        <f t="shared" si="38"/>
        <v>9</v>
      </c>
      <c r="J442" s="2" t="str">
        <f t="shared" si="39"/>
        <v>2024-09</v>
      </c>
      <c r="K442" s="2">
        <f t="shared" si="40"/>
        <v>37</v>
      </c>
      <c r="L442" s="2">
        <f ca="1">AVERAGE(OFFSET(USD_NGN_Historical_Data__17[[#This Row],[Rate]], -6, 0, 7, 1))</f>
        <v>1604.2857142857142</v>
      </c>
      <c r="M442" s="2" t="str">
        <f t="shared" si="41"/>
        <v>Mon</v>
      </c>
    </row>
    <row r="443" spans="1:13" x14ac:dyDescent="0.35">
      <c r="A443" s="4">
        <v>45545</v>
      </c>
      <c r="B443" s="2">
        <v>1645</v>
      </c>
      <c r="C443" s="2">
        <v>1645</v>
      </c>
      <c r="D443" s="2">
        <v>1649.325</v>
      </c>
      <c r="E443" s="2">
        <v>1592.5</v>
      </c>
      <c r="F443" s="1">
        <v>0</v>
      </c>
      <c r="G443" s="2">
        <f t="shared" si="36"/>
        <v>2024</v>
      </c>
      <c r="H443" s="2" t="str">
        <f t="shared" si="37"/>
        <v>Sep</v>
      </c>
      <c r="I443" s="2">
        <f t="shared" si="38"/>
        <v>9</v>
      </c>
      <c r="J443" s="2" t="str">
        <f t="shared" si="39"/>
        <v>2024-09</v>
      </c>
      <c r="K443" s="2">
        <f t="shared" si="40"/>
        <v>37</v>
      </c>
      <c r="L443" s="2">
        <f ca="1">AVERAGE(OFFSET(USD_NGN_Historical_Data__17[[#This Row],[Rate]], -6, 0, 7, 1))</f>
        <v>1612.1428571428571</v>
      </c>
      <c r="M443" s="2" t="str">
        <f t="shared" si="41"/>
        <v>Tue</v>
      </c>
    </row>
    <row r="444" spans="1:13" x14ac:dyDescent="0.35">
      <c r="A444" s="4">
        <v>45546</v>
      </c>
      <c r="B444" s="2">
        <v>1655</v>
      </c>
      <c r="C444" s="2">
        <v>1645</v>
      </c>
      <c r="D444" s="2">
        <v>1655</v>
      </c>
      <c r="E444" s="2">
        <v>1606.7249999999999</v>
      </c>
      <c r="F444" s="1">
        <v>6.1000000000000004E-3</v>
      </c>
      <c r="G444" s="2">
        <f t="shared" si="36"/>
        <v>2024</v>
      </c>
      <c r="H444" s="2" t="str">
        <f t="shared" si="37"/>
        <v>Sep</v>
      </c>
      <c r="I444" s="2">
        <f t="shared" si="38"/>
        <v>9</v>
      </c>
      <c r="J444" s="2" t="str">
        <f t="shared" si="39"/>
        <v>2024-09</v>
      </c>
      <c r="K444" s="2">
        <f t="shared" si="40"/>
        <v>37</v>
      </c>
      <c r="L444" s="2">
        <f ca="1">AVERAGE(OFFSET(USD_NGN_Historical_Data__17[[#This Row],[Rate]], -6, 0, 7, 1))</f>
        <v>1621.4285714285713</v>
      </c>
      <c r="M444" s="2" t="str">
        <f t="shared" si="41"/>
        <v>Wed</v>
      </c>
    </row>
    <row r="445" spans="1:13" x14ac:dyDescent="0.35">
      <c r="A445" s="4">
        <v>45547</v>
      </c>
      <c r="B445" s="2">
        <v>1655</v>
      </c>
      <c r="C445" s="2">
        <v>1655</v>
      </c>
      <c r="D445" s="2">
        <v>1665</v>
      </c>
      <c r="E445" s="2">
        <v>1497.5</v>
      </c>
      <c r="F445" s="1">
        <v>0</v>
      </c>
      <c r="G445" s="2">
        <f t="shared" si="36"/>
        <v>2024</v>
      </c>
      <c r="H445" s="2" t="str">
        <f t="shared" si="37"/>
        <v>Sep</v>
      </c>
      <c r="I445" s="2">
        <f t="shared" si="38"/>
        <v>9</v>
      </c>
      <c r="J445" s="2" t="str">
        <f t="shared" si="39"/>
        <v>2024-09</v>
      </c>
      <c r="K445" s="2">
        <f t="shared" si="40"/>
        <v>37</v>
      </c>
      <c r="L445" s="2">
        <f ca="1">AVERAGE(OFFSET(USD_NGN_Historical_Data__17[[#This Row],[Rate]], -6, 0, 7, 1))</f>
        <v>1630.7142857142858</v>
      </c>
      <c r="M445" s="2" t="str">
        <f t="shared" si="41"/>
        <v>Thu</v>
      </c>
    </row>
    <row r="446" spans="1:13" x14ac:dyDescent="0.35">
      <c r="A446" s="4">
        <v>45548</v>
      </c>
      <c r="B446" s="2">
        <v>1639.2</v>
      </c>
      <c r="C446" s="2">
        <v>1655</v>
      </c>
      <c r="D446" s="2">
        <v>1662.5650000000001</v>
      </c>
      <c r="E446" s="2">
        <v>1581.21</v>
      </c>
      <c r="F446" s="1">
        <v>-9.4999999999999998E-3</v>
      </c>
      <c r="G446" s="2">
        <f t="shared" si="36"/>
        <v>2024</v>
      </c>
      <c r="H446" s="2" t="str">
        <f t="shared" si="37"/>
        <v>Sep</v>
      </c>
      <c r="I446" s="2">
        <f t="shared" si="38"/>
        <v>9</v>
      </c>
      <c r="J446" s="2" t="str">
        <f t="shared" si="39"/>
        <v>2024-09</v>
      </c>
      <c r="K446" s="2">
        <f t="shared" si="40"/>
        <v>37</v>
      </c>
      <c r="L446" s="2">
        <f ca="1">AVERAGE(OFFSET(USD_NGN_Historical_Data__17[[#This Row],[Rate]], -6, 0, 7, 1))</f>
        <v>1635.6000000000001</v>
      </c>
      <c r="M446" s="2" t="str">
        <f t="shared" si="41"/>
        <v>Fri</v>
      </c>
    </row>
    <row r="447" spans="1:13" x14ac:dyDescent="0.35">
      <c r="A447" s="4">
        <v>45551</v>
      </c>
      <c r="B447" s="2">
        <v>1639.2</v>
      </c>
      <c r="C447" s="2">
        <v>1646.13</v>
      </c>
      <c r="D447" s="2">
        <v>1655.0650000000001</v>
      </c>
      <c r="E447" s="2">
        <v>1630.665</v>
      </c>
      <c r="F447" s="1">
        <v>0</v>
      </c>
      <c r="G447" s="2">
        <f t="shared" si="36"/>
        <v>2024</v>
      </c>
      <c r="H447" s="2" t="str">
        <f t="shared" si="37"/>
        <v>Sep</v>
      </c>
      <c r="I447" s="2">
        <f t="shared" si="38"/>
        <v>9</v>
      </c>
      <c r="J447" s="2" t="str">
        <f t="shared" si="39"/>
        <v>2024-09</v>
      </c>
      <c r="K447" s="2">
        <f t="shared" si="40"/>
        <v>38</v>
      </c>
      <c r="L447" s="2">
        <f ca="1">AVERAGE(OFFSET(USD_NGN_Historical_Data__17[[#This Row],[Rate]], -6, 0, 7, 1))</f>
        <v>1640.4857142857145</v>
      </c>
      <c r="M447" s="2" t="str">
        <f t="shared" si="41"/>
        <v>Mon</v>
      </c>
    </row>
    <row r="448" spans="1:13" x14ac:dyDescent="0.35">
      <c r="A448" s="4">
        <v>45552</v>
      </c>
      <c r="B448" s="2">
        <v>1639.2</v>
      </c>
      <c r="C448" s="2">
        <v>1639.2</v>
      </c>
      <c r="D448" s="2">
        <v>1657.1</v>
      </c>
      <c r="E448" s="2">
        <v>1512.5</v>
      </c>
      <c r="F448" s="1">
        <v>0</v>
      </c>
      <c r="G448" s="2">
        <f t="shared" si="36"/>
        <v>2024</v>
      </c>
      <c r="H448" s="2" t="str">
        <f t="shared" si="37"/>
        <v>Sep</v>
      </c>
      <c r="I448" s="2">
        <f t="shared" si="38"/>
        <v>9</v>
      </c>
      <c r="J448" s="2" t="str">
        <f t="shared" si="39"/>
        <v>2024-09</v>
      </c>
      <c r="K448" s="2">
        <f t="shared" si="40"/>
        <v>38</v>
      </c>
      <c r="L448" s="2">
        <f ca="1">AVERAGE(OFFSET(USD_NGN_Historical_Data__17[[#This Row],[Rate]], -6, 0, 7, 1))</f>
        <v>1645.3714285714289</v>
      </c>
      <c r="M448" s="2" t="str">
        <f t="shared" si="41"/>
        <v>Tue</v>
      </c>
    </row>
    <row r="449" spans="1:13" x14ac:dyDescent="0.35">
      <c r="A449" s="4">
        <v>45553</v>
      </c>
      <c r="B449" s="2">
        <v>1639.2</v>
      </c>
      <c r="C449" s="2">
        <v>1639.2</v>
      </c>
      <c r="D449" s="2">
        <v>1661.87</v>
      </c>
      <c r="E449" s="2">
        <v>1617.5</v>
      </c>
      <c r="F449" s="1">
        <v>0</v>
      </c>
      <c r="G449" s="2">
        <f t="shared" si="36"/>
        <v>2024</v>
      </c>
      <c r="H449" s="2" t="str">
        <f t="shared" si="37"/>
        <v>Sep</v>
      </c>
      <c r="I449" s="2">
        <f t="shared" si="38"/>
        <v>9</v>
      </c>
      <c r="J449" s="2" t="str">
        <f t="shared" si="39"/>
        <v>2024-09</v>
      </c>
      <c r="K449" s="2">
        <f t="shared" si="40"/>
        <v>38</v>
      </c>
      <c r="L449" s="2">
        <f ca="1">AVERAGE(OFFSET(USD_NGN_Historical_Data__17[[#This Row],[Rate]], -6, 0, 7, 1))</f>
        <v>1644.5428571428572</v>
      </c>
      <c r="M449" s="2" t="str">
        <f t="shared" si="41"/>
        <v>Wed</v>
      </c>
    </row>
    <row r="450" spans="1:13" x14ac:dyDescent="0.35">
      <c r="A450" s="4">
        <v>45554</v>
      </c>
      <c r="B450" s="2">
        <v>1639.2</v>
      </c>
      <c r="C450" s="2">
        <v>1639.2</v>
      </c>
      <c r="D450" s="2">
        <v>1659.37</v>
      </c>
      <c r="E450" s="2">
        <v>1594.37</v>
      </c>
      <c r="F450" s="1">
        <v>0</v>
      </c>
      <c r="G450" s="2">
        <f t="shared" ref="G450:G513" si="42">YEAR(A450)</f>
        <v>2024</v>
      </c>
      <c r="H450" s="2" t="str">
        <f t="shared" ref="H450:H513" si="43">TEXT(A450,"mmm")</f>
        <v>Sep</v>
      </c>
      <c r="I450" s="2">
        <f t="shared" ref="I450:I513" si="44">MONTH(A450)</f>
        <v>9</v>
      </c>
      <c r="J450" s="2" t="str">
        <f t="shared" ref="J450:J513" si="45">TEXT(A450,"yyyy-mm")</f>
        <v>2024-09</v>
      </c>
      <c r="K450" s="2">
        <f t="shared" ref="K450:K513" si="46">WEEKNUM(A450)</f>
        <v>38</v>
      </c>
      <c r="L450" s="2">
        <f ca="1">AVERAGE(OFFSET(USD_NGN_Historical_Data__17[[#This Row],[Rate]], -6, 0, 7, 1))</f>
        <v>1643.714285714286</v>
      </c>
      <c r="M450" s="2" t="str">
        <f t="shared" ref="M450:M513" si="47">TEXT(A450, "ddd")</f>
        <v>Thu</v>
      </c>
    </row>
    <row r="451" spans="1:13" x14ac:dyDescent="0.35">
      <c r="A451" s="4">
        <v>45555</v>
      </c>
      <c r="B451" s="2">
        <v>1639.2</v>
      </c>
      <c r="C451" s="2">
        <v>1639.2</v>
      </c>
      <c r="D451" s="2">
        <v>1660</v>
      </c>
      <c r="E451" s="2">
        <v>1594.37</v>
      </c>
      <c r="F451" s="1">
        <v>0</v>
      </c>
      <c r="G451" s="2">
        <f t="shared" si="42"/>
        <v>2024</v>
      </c>
      <c r="H451" s="2" t="str">
        <f t="shared" si="43"/>
        <v>Sep</v>
      </c>
      <c r="I451" s="2">
        <f t="shared" si="44"/>
        <v>9</v>
      </c>
      <c r="J451" s="2" t="str">
        <f t="shared" si="45"/>
        <v>2024-09</v>
      </c>
      <c r="K451" s="2">
        <f t="shared" si="46"/>
        <v>38</v>
      </c>
      <c r="L451" s="2">
        <f ca="1">AVERAGE(OFFSET(USD_NGN_Historical_Data__17[[#This Row],[Rate]], -6, 0, 7, 1))</f>
        <v>1641.457142857143</v>
      </c>
      <c r="M451" s="2" t="str">
        <f t="shared" si="47"/>
        <v>Fri</v>
      </c>
    </row>
    <row r="452" spans="1:13" x14ac:dyDescent="0.35">
      <c r="A452" s="4">
        <v>45558</v>
      </c>
      <c r="B452" s="2">
        <v>1639.2</v>
      </c>
      <c r="C452" s="2">
        <v>1639.2</v>
      </c>
      <c r="D452" s="2">
        <v>1660</v>
      </c>
      <c r="E452" s="2">
        <v>1547.5250000000001</v>
      </c>
      <c r="F452" s="1">
        <v>0</v>
      </c>
      <c r="G452" s="2">
        <f t="shared" si="42"/>
        <v>2024</v>
      </c>
      <c r="H452" s="2" t="str">
        <f t="shared" si="43"/>
        <v>Sep</v>
      </c>
      <c r="I452" s="2">
        <f t="shared" si="44"/>
        <v>9</v>
      </c>
      <c r="J452" s="2" t="str">
        <f t="shared" si="45"/>
        <v>2024-09</v>
      </c>
      <c r="K452" s="2">
        <f t="shared" si="46"/>
        <v>39</v>
      </c>
      <c r="L452" s="2">
        <f ca="1">AVERAGE(OFFSET(USD_NGN_Historical_Data__17[[#This Row],[Rate]], -6, 0, 7, 1))</f>
        <v>1639.2000000000003</v>
      </c>
      <c r="M452" s="2" t="str">
        <f t="shared" si="47"/>
        <v>Mon</v>
      </c>
    </row>
    <row r="453" spans="1:13" x14ac:dyDescent="0.35">
      <c r="A453" s="4">
        <v>45559</v>
      </c>
      <c r="B453" s="2">
        <v>1596.98</v>
      </c>
      <c r="C453" s="2">
        <v>1639.2</v>
      </c>
      <c r="D453" s="2">
        <v>1639.2</v>
      </c>
      <c r="E453" s="2">
        <v>1594.07</v>
      </c>
      <c r="F453" s="1">
        <v>-2.58E-2</v>
      </c>
      <c r="G453" s="2">
        <f t="shared" si="42"/>
        <v>2024</v>
      </c>
      <c r="H453" s="2" t="str">
        <f t="shared" si="43"/>
        <v>Sep</v>
      </c>
      <c r="I453" s="2">
        <f t="shared" si="44"/>
        <v>9</v>
      </c>
      <c r="J453" s="2" t="str">
        <f t="shared" si="45"/>
        <v>2024-09</v>
      </c>
      <c r="K453" s="2">
        <f t="shared" si="46"/>
        <v>39</v>
      </c>
      <c r="L453" s="2">
        <f ca="1">AVERAGE(OFFSET(USD_NGN_Historical_Data__17[[#This Row],[Rate]], -6, 0, 7, 1))</f>
        <v>1633.1685714285716</v>
      </c>
      <c r="M453" s="2" t="str">
        <f t="shared" si="47"/>
        <v>Tue</v>
      </c>
    </row>
    <row r="454" spans="1:13" x14ac:dyDescent="0.35">
      <c r="A454" s="4">
        <v>45560</v>
      </c>
      <c r="B454" s="2">
        <v>1653.27</v>
      </c>
      <c r="C454" s="2">
        <v>1597.98</v>
      </c>
      <c r="D454" s="2">
        <v>1674</v>
      </c>
      <c r="E454" s="2">
        <v>1597.98</v>
      </c>
      <c r="F454" s="1">
        <v>3.5200000000000002E-2</v>
      </c>
      <c r="G454" s="2">
        <f t="shared" si="42"/>
        <v>2024</v>
      </c>
      <c r="H454" s="2" t="str">
        <f t="shared" si="43"/>
        <v>Sep</v>
      </c>
      <c r="I454" s="2">
        <f t="shared" si="44"/>
        <v>9</v>
      </c>
      <c r="J454" s="2" t="str">
        <f t="shared" si="45"/>
        <v>2024-09</v>
      </c>
      <c r="K454" s="2">
        <f t="shared" si="46"/>
        <v>39</v>
      </c>
      <c r="L454" s="2">
        <f ca="1">AVERAGE(OFFSET(USD_NGN_Historical_Data__17[[#This Row],[Rate]], -6, 0, 7, 1))</f>
        <v>1635.1785714285713</v>
      </c>
      <c r="M454" s="2" t="str">
        <f t="shared" si="47"/>
        <v>Wed</v>
      </c>
    </row>
    <row r="455" spans="1:13" x14ac:dyDescent="0.35">
      <c r="A455" s="4">
        <v>45561</v>
      </c>
      <c r="B455" s="2">
        <v>1653.27</v>
      </c>
      <c r="C455" s="2">
        <v>1653.27</v>
      </c>
      <c r="D455" s="2">
        <v>1680</v>
      </c>
      <c r="E455" s="2">
        <v>1597.98</v>
      </c>
      <c r="F455" s="1">
        <v>0</v>
      </c>
      <c r="G455" s="2">
        <f t="shared" si="42"/>
        <v>2024</v>
      </c>
      <c r="H455" s="2" t="str">
        <f t="shared" si="43"/>
        <v>Sep</v>
      </c>
      <c r="I455" s="2">
        <f t="shared" si="44"/>
        <v>9</v>
      </c>
      <c r="J455" s="2" t="str">
        <f t="shared" si="45"/>
        <v>2024-09</v>
      </c>
      <c r="K455" s="2">
        <f t="shared" si="46"/>
        <v>39</v>
      </c>
      <c r="L455" s="2">
        <f ca="1">AVERAGE(OFFSET(USD_NGN_Historical_Data__17[[#This Row],[Rate]], -6, 0, 7, 1))</f>
        <v>1637.1885714285715</v>
      </c>
      <c r="M455" s="2" t="str">
        <f t="shared" si="47"/>
        <v>Thu</v>
      </c>
    </row>
    <row r="456" spans="1:13" x14ac:dyDescent="0.35">
      <c r="A456" s="4">
        <v>45562</v>
      </c>
      <c r="B456" s="2">
        <v>1668.97</v>
      </c>
      <c r="C456" s="2">
        <v>1653.27</v>
      </c>
      <c r="D456" s="2">
        <v>1680.095</v>
      </c>
      <c r="E456" s="2">
        <v>1631.635</v>
      </c>
      <c r="F456" s="1">
        <v>9.4999999999999998E-3</v>
      </c>
      <c r="G456" s="2">
        <f t="shared" si="42"/>
        <v>2024</v>
      </c>
      <c r="H456" s="2" t="str">
        <f t="shared" si="43"/>
        <v>Sep</v>
      </c>
      <c r="I456" s="2">
        <f t="shared" si="44"/>
        <v>9</v>
      </c>
      <c r="J456" s="2" t="str">
        <f t="shared" si="45"/>
        <v>2024-09</v>
      </c>
      <c r="K456" s="2">
        <f t="shared" si="46"/>
        <v>39</v>
      </c>
      <c r="L456" s="2">
        <f ca="1">AVERAGE(OFFSET(USD_NGN_Historical_Data__17[[#This Row],[Rate]], -6, 0, 7, 1))</f>
        <v>1641.4414285714286</v>
      </c>
      <c r="M456" s="2" t="str">
        <f t="shared" si="47"/>
        <v>Fri</v>
      </c>
    </row>
    <row r="457" spans="1:13" x14ac:dyDescent="0.35">
      <c r="A457" s="4">
        <v>45565</v>
      </c>
      <c r="B457" s="2">
        <v>1668.97</v>
      </c>
      <c r="C457" s="2">
        <v>1668.97</v>
      </c>
      <c r="D457" s="2">
        <v>1683.11</v>
      </c>
      <c r="E457" s="2">
        <v>1635</v>
      </c>
      <c r="F457" s="1">
        <v>0</v>
      </c>
      <c r="G457" s="2">
        <f t="shared" si="42"/>
        <v>2024</v>
      </c>
      <c r="H457" s="2" t="str">
        <f t="shared" si="43"/>
        <v>Sep</v>
      </c>
      <c r="I457" s="2">
        <f t="shared" si="44"/>
        <v>9</v>
      </c>
      <c r="J457" s="2" t="str">
        <f t="shared" si="45"/>
        <v>2024-09</v>
      </c>
      <c r="K457" s="2">
        <f t="shared" si="46"/>
        <v>40</v>
      </c>
      <c r="L457" s="2">
        <f ca="1">AVERAGE(OFFSET(USD_NGN_Historical_Data__17[[#This Row],[Rate]], -6, 0, 7, 1))</f>
        <v>1645.6942857142856</v>
      </c>
      <c r="M457" s="2" t="str">
        <f t="shared" si="47"/>
        <v>Mon</v>
      </c>
    </row>
    <row r="458" spans="1:13" x14ac:dyDescent="0.35">
      <c r="A458" s="4">
        <v>45566</v>
      </c>
      <c r="B458" s="2">
        <v>1668.97</v>
      </c>
      <c r="C458" s="2">
        <v>1668.97</v>
      </c>
      <c r="D458" s="2">
        <v>1673.4849999999999</v>
      </c>
      <c r="E458" s="2">
        <v>1601.53</v>
      </c>
      <c r="F458" s="1">
        <v>0</v>
      </c>
      <c r="G458" s="2">
        <f t="shared" si="42"/>
        <v>2024</v>
      </c>
      <c r="H458" s="2" t="str">
        <f t="shared" si="43"/>
        <v>Oct</v>
      </c>
      <c r="I458" s="2">
        <f t="shared" si="44"/>
        <v>10</v>
      </c>
      <c r="J458" s="2" t="str">
        <f t="shared" si="45"/>
        <v>2024-10</v>
      </c>
      <c r="K458" s="2">
        <f t="shared" si="46"/>
        <v>40</v>
      </c>
      <c r="L458" s="2">
        <f ca="1">AVERAGE(OFFSET(USD_NGN_Historical_Data__17[[#This Row],[Rate]], -6, 0, 7, 1))</f>
        <v>1649.9471428571428</v>
      </c>
      <c r="M458" s="2" t="str">
        <f t="shared" si="47"/>
        <v>Tue</v>
      </c>
    </row>
    <row r="459" spans="1:13" x14ac:dyDescent="0.35">
      <c r="A459" s="4">
        <v>45567</v>
      </c>
      <c r="B459" s="2">
        <v>1668.97</v>
      </c>
      <c r="C459" s="2">
        <v>1668.97</v>
      </c>
      <c r="D459" s="2">
        <v>1668.97</v>
      </c>
      <c r="E459" s="2">
        <v>1601.53</v>
      </c>
      <c r="F459" s="1">
        <v>0</v>
      </c>
      <c r="G459" s="2">
        <f t="shared" si="42"/>
        <v>2024</v>
      </c>
      <c r="H459" s="2" t="str">
        <f t="shared" si="43"/>
        <v>Oct</v>
      </c>
      <c r="I459" s="2">
        <f t="shared" si="44"/>
        <v>10</v>
      </c>
      <c r="J459" s="2" t="str">
        <f t="shared" si="45"/>
        <v>2024-10</v>
      </c>
      <c r="K459" s="2">
        <f t="shared" si="46"/>
        <v>40</v>
      </c>
      <c r="L459" s="2">
        <f ca="1">AVERAGE(OFFSET(USD_NGN_Historical_Data__17[[#This Row],[Rate]], -6, 0, 7, 1))</f>
        <v>1654.2</v>
      </c>
      <c r="M459" s="2" t="str">
        <f t="shared" si="47"/>
        <v>Wed</v>
      </c>
    </row>
    <row r="460" spans="1:13" x14ac:dyDescent="0.35">
      <c r="A460" s="4">
        <v>45568</v>
      </c>
      <c r="B460" s="2">
        <v>1645</v>
      </c>
      <c r="C460" s="2">
        <v>1668.97</v>
      </c>
      <c r="D460" s="2">
        <v>1690.0550000000001</v>
      </c>
      <c r="E460" s="2">
        <v>1601.53</v>
      </c>
      <c r="F460" s="1">
        <v>-1.44E-2</v>
      </c>
      <c r="G460" s="2">
        <f t="shared" si="42"/>
        <v>2024</v>
      </c>
      <c r="H460" s="2" t="str">
        <f t="shared" si="43"/>
        <v>Oct</v>
      </c>
      <c r="I460" s="2">
        <f t="shared" si="44"/>
        <v>10</v>
      </c>
      <c r="J460" s="2" t="str">
        <f t="shared" si="45"/>
        <v>2024-10</v>
      </c>
      <c r="K460" s="2">
        <f t="shared" si="46"/>
        <v>40</v>
      </c>
      <c r="L460" s="2">
        <f ca="1">AVERAGE(OFFSET(USD_NGN_Historical_Data__17[[#This Row],[Rate]], -6, 0, 7, 1))</f>
        <v>1661.06</v>
      </c>
      <c r="M460" s="2" t="str">
        <f t="shared" si="47"/>
        <v>Thu</v>
      </c>
    </row>
    <row r="461" spans="1:13" x14ac:dyDescent="0.35">
      <c r="A461" s="4">
        <v>45569</v>
      </c>
      <c r="B461" s="2">
        <v>1620</v>
      </c>
      <c r="C461" s="2">
        <v>1645</v>
      </c>
      <c r="D461" s="2">
        <v>1663.5550000000001</v>
      </c>
      <c r="E461" s="2">
        <v>1605</v>
      </c>
      <c r="F461" s="1">
        <v>-1.52E-2</v>
      </c>
      <c r="G461" s="2">
        <f t="shared" si="42"/>
        <v>2024</v>
      </c>
      <c r="H461" s="2" t="str">
        <f t="shared" si="43"/>
        <v>Oct</v>
      </c>
      <c r="I461" s="2">
        <f t="shared" si="44"/>
        <v>10</v>
      </c>
      <c r="J461" s="2" t="str">
        <f t="shared" si="45"/>
        <v>2024-10</v>
      </c>
      <c r="K461" s="2">
        <f t="shared" si="46"/>
        <v>40</v>
      </c>
      <c r="L461" s="2">
        <f ca="1">AVERAGE(OFFSET(USD_NGN_Historical_Data__17[[#This Row],[Rate]], -6, 0, 7, 1))</f>
        <v>1656.3071428571427</v>
      </c>
      <c r="M461" s="2" t="str">
        <f t="shared" si="47"/>
        <v>Fri</v>
      </c>
    </row>
    <row r="462" spans="1:13" x14ac:dyDescent="0.35">
      <c r="A462" s="4">
        <v>45572</v>
      </c>
      <c r="B462" s="2">
        <v>1620</v>
      </c>
      <c r="C462" s="2">
        <v>1657.86</v>
      </c>
      <c r="D462" s="2">
        <v>1657.86</v>
      </c>
      <c r="E462" s="2">
        <v>1607.5</v>
      </c>
      <c r="F462" s="1">
        <v>0</v>
      </c>
      <c r="G462" s="2">
        <f t="shared" si="42"/>
        <v>2024</v>
      </c>
      <c r="H462" s="2" t="str">
        <f t="shared" si="43"/>
        <v>Oct</v>
      </c>
      <c r="I462" s="2">
        <f t="shared" si="44"/>
        <v>10</v>
      </c>
      <c r="J462" s="2" t="str">
        <f t="shared" si="45"/>
        <v>2024-10</v>
      </c>
      <c r="K462" s="2">
        <f t="shared" si="46"/>
        <v>41</v>
      </c>
      <c r="L462" s="2">
        <f ca="1">AVERAGE(OFFSET(USD_NGN_Historical_Data__17[[#This Row],[Rate]], -6, 0, 7, 1))</f>
        <v>1651.5542857142859</v>
      </c>
      <c r="M462" s="2" t="str">
        <f t="shared" si="47"/>
        <v>Mon</v>
      </c>
    </row>
    <row r="463" spans="1:13" x14ac:dyDescent="0.35">
      <c r="A463" s="4">
        <v>45573</v>
      </c>
      <c r="B463" s="2">
        <v>1620</v>
      </c>
      <c r="C463" s="2">
        <v>1620</v>
      </c>
      <c r="D463" s="2">
        <v>1657.86</v>
      </c>
      <c r="E463" s="2">
        <v>1610</v>
      </c>
      <c r="F463" s="1">
        <v>0</v>
      </c>
      <c r="G463" s="2">
        <f t="shared" si="42"/>
        <v>2024</v>
      </c>
      <c r="H463" s="2" t="str">
        <f t="shared" si="43"/>
        <v>Oct</v>
      </c>
      <c r="I463" s="2">
        <f t="shared" si="44"/>
        <v>10</v>
      </c>
      <c r="J463" s="2" t="str">
        <f t="shared" si="45"/>
        <v>2024-10</v>
      </c>
      <c r="K463" s="2">
        <f t="shared" si="46"/>
        <v>41</v>
      </c>
      <c r="L463" s="2">
        <f ca="1">AVERAGE(OFFSET(USD_NGN_Historical_Data__17[[#This Row],[Rate]], -6, 0, 7, 1))</f>
        <v>1644.5585714285714</v>
      </c>
      <c r="M463" s="2" t="str">
        <f t="shared" si="47"/>
        <v>Tue</v>
      </c>
    </row>
    <row r="464" spans="1:13" x14ac:dyDescent="0.35">
      <c r="A464" s="4">
        <v>45574</v>
      </c>
      <c r="B464" s="2">
        <v>1620</v>
      </c>
      <c r="C464" s="2">
        <v>1620</v>
      </c>
      <c r="D464" s="2">
        <v>1637.15</v>
      </c>
      <c r="E464" s="2">
        <v>1590.69</v>
      </c>
      <c r="F464" s="1">
        <v>0</v>
      </c>
      <c r="G464" s="2">
        <f t="shared" si="42"/>
        <v>2024</v>
      </c>
      <c r="H464" s="2" t="str">
        <f t="shared" si="43"/>
        <v>Oct</v>
      </c>
      <c r="I464" s="2">
        <f t="shared" si="44"/>
        <v>10</v>
      </c>
      <c r="J464" s="2" t="str">
        <f t="shared" si="45"/>
        <v>2024-10</v>
      </c>
      <c r="K464" s="2">
        <f t="shared" si="46"/>
        <v>41</v>
      </c>
      <c r="L464" s="2">
        <f ca="1">AVERAGE(OFFSET(USD_NGN_Historical_Data__17[[#This Row],[Rate]], -6, 0, 7, 1))</f>
        <v>1637.5628571428572</v>
      </c>
      <c r="M464" s="2" t="str">
        <f t="shared" si="47"/>
        <v>Wed</v>
      </c>
    </row>
    <row r="465" spans="1:13" x14ac:dyDescent="0.35">
      <c r="A465" s="4">
        <v>45575</v>
      </c>
      <c r="B465" s="2">
        <v>1620</v>
      </c>
      <c r="C465" s="2">
        <v>1620</v>
      </c>
      <c r="D465" s="2">
        <v>1638.595</v>
      </c>
      <c r="E465" s="2">
        <v>1590.69</v>
      </c>
      <c r="F465" s="1">
        <v>0</v>
      </c>
      <c r="G465" s="2">
        <f t="shared" si="42"/>
        <v>2024</v>
      </c>
      <c r="H465" s="2" t="str">
        <f t="shared" si="43"/>
        <v>Oct</v>
      </c>
      <c r="I465" s="2">
        <f t="shared" si="44"/>
        <v>10</v>
      </c>
      <c r="J465" s="2" t="str">
        <f t="shared" si="45"/>
        <v>2024-10</v>
      </c>
      <c r="K465" s="2">
        <f t="shared" si="46"/>
        <v>41</v>
      </c>
      <c r="L465" s="2">
        <f ca="1">AVERAGE(OFFSET(USD_NGN_Historical_Data__17[[#This Row],[Rate]], -6, 0, 7, 1))</f>
        <v>1630.5671428571429</v>
      </c>
      <c r="M465" s="2" t="str">
        <f t="shared" si="47"/>
        <v>Thu</v>
      </c>
    </row>
    <row r="466" spans="1:13" x14ac:dyDescent="0.35">
      <c r="A466" s="4">
        <v>45576</v>
      </c>
      <c r="B466" s="2">
        <v>1620</v>
      </c>
      <c r="C466" s="2">
        <v>1620</v>
      </c>
      <c r="D466" s="2">
        <v>1636.095</v>
      </c>
      <c r="E466" s="2">
        <v>1611.165</v>
      </c>
      <c r="F466" s="1">
        <v>0</v>
      </c>
      <c r="G466" s="2">
        <f t="shared" si="42"/>
        <v>2024</v>
      </c>
      <c r="H466" s="2" t="str">
        <f t="shared" si="43"/>
        <v>Oct</v>
      </c>
      <c r="I466" s="2">
        <f t="shared" si="44"/>
        <v>10</v>
      </c>
      <c r="J466" s="2" t="str">
        <f t="shared" si="45"/>
        <v>2024-10</v>
      </c>
      <c r="K466" s="2">
        <f t="shared" si="46"/>
        <v>41</v>
      </c>
      <c r="L466" s="2">
        <f ca="1">AVERAGE(OFFSET(USD_NGN_Historical_Data__17[[#This Row],[Rate]], -6, 0, 7, 1))</f>
        <v>1623.5714285714287</v>
      </c>
      <c r="M466" s="2" t="str">
        <f t="shared" si="47"/>
        <v>Fri</v>
      </c>
    </row>
    <row r="467" spans="1:13" x14ac:dyDescent="0.35">
      <c r="A467" s="4">
        <v>45579</v>
      </c>
      <c r="B467" s="2">
        <v>1635</v>
      </c>
      <c r="C467" s="2">
        <v>1626.33</v>
      </c>
      <c r="D467" s="2">
        <v>1642.665</v>
      </c>
      <c r="E467" s="2">
        <v>1611.165</v>
      </c>
      <c r="F467" s="1">
        <v>9.2999999999999992E-3</v>
      </c>
      <c r="G467" s="2">
        <f t="shared" si="42"/>
        <v>2024</v>
      </c>
      <c r="H467" s="2" t="str">
        <f t="shared" si="43"/>
        <v>Oct</v>
      </c>
      <c r="I467" s="2">
        <f t="shared" si="44"/>
        <v>10</v>
      </c>
      <c r="J467" s="2" t="str">
        <f t="shared" si="45"/>
        <v>2024-10</v>
      </c>
      <c r="K467" s="2">
        <f t="shared" si="46"/>
        <v>42</v>
      </c>
      <c r="L467" s="2">
        <f ca="1">AVERAGE(OFFSET(USD_NGN_Historical_Data__17[[#This Row],[Rate]], -6, 0, 7, 1))</f>
        <v>1622.1428571428571</v>
      </c>
      <c r="M467" s="2" t="str">
        <f t="shared" si="47"/>
        <v>Mon</v>
      </c>
    </row>
    <row r="468" spans="1:13" x14ac:dyDescent="0.35">
      <c r="A468" s="4">
        <v>45580</v>
      </c>
      <c r="B468" s="2">
        <v>1635</v>
      </c>
      <c r="C468" s="2">
        <v>1635</v>
      </c>
      <c r="D468" s="2">
        <v>1657.5</v>
      </c>
      <c r="E468" s="2">
        <v>1602.04</v>
      </c>
      <c r="F468" s="1">
        <v>0</v>
      </c>
      <c r="G468" s="2">
        <f t="shared" si="42"/>
        <v>2024</v>
      </c>
      <c r="H468" s="2" t="str">
        <f t="shared" si="43"/>
        <v>Oct</v>
      </c>
      <c r="I468" s="2">
        <f t="shared" si="44"/>
        <v>10</v>
      </c>
      <c r="J468" s="2" t="str">
        <f t="shared" si="45"/>
        <v>2024-10</v>
      </c>
      <c r="K468" s="2">
        <f t="shared" si="46"/>
        <v>42</v>
      </c>
      <c r="L468" s="2">
        <f ca="1">AVERAGE(OFFSET(USD_NGN_Historical_Data__17[[#This Row],[Rate]], -6, 0, 7, 1))</f>
        <v>1624.2857142857142</v>
      </c>
      <c r="M468" s="2" t="str">
        <f t="shared" si="47"/>
        <v>Tue</v>
      </c>
    </row>
    <row r="469" spans="1:13" x14ac:dyDescent="0.35">
      <c r="A469" s="4">
        <v>45581</v>
      </c>
      <c r="B469" s="2">
        <v>1635</v>
      </c>
      <c r="C469" s="2">
        <v>1635</v>
      </c>
      <c r="D469" s="2">
        <v>1672.345</v>
      </c>
      <c r="E469" s="2">
        <v>1603.08</v>
      </c>
      <c r="F469" s="1">
        <v>0</v>
      </c>
      <c r="G469" s="2">
        <f t="shared" si="42"/>
        <v>2024</v>
      </c>
      <c r="H469" s="2" t="str">
        <f t="shared" si="43"/>
        <v>Oct</v>
      </c>
      <c r="I469" s="2">
        <f t="shared" si="44"/>
        <v>10</v>
      </c>
      <c r="J469" s="2" t="str">
        <f t="shared" si="45"/>
        <v>2024-10</v>
      </c>
      <c r="K469" s="2">
        <f t="shared" si="46"/>
        <v>42</v>
      </c>
      <c r="L469" s="2">
        <f ca="1">AVERAGE(OFFSET(USD_NGN_Historical_Data__17[[#This Row],[Rate]], -6, 0, 7, 1))</f>
        <v>1626.4285714285713</v>
      </c>
      <c r="M469" s="2" t="str">
        <f t="shared" si="47"/>
        <v>Wed</v>
      </c>
    </row>
    <row r="470" spans="1:13" x14ac:dyDescent="0.35">
      <c r="A470" s="4">
        <v>45582</v>
      </c>
      <c r="B470" s="2">
        <v>1635</v>
      </c>
      <c r="C470" s="2">
        <v>1635</v>
      </c>
      <c r="D470" s="2">
        <v>1669.845</v>
      </c>
      <c r="E470" s="2">
        <v>1622.5</v>
      </c>
      <c r="F470" s="1">
        <v>0</v>
      </c>
      <c r="G470" s="2">
        <f t="shared" si="42"/>
        <v>2024</v>
      </c>
      <c r="H470" s="2" t="str">
        <f t="shared" si="43"/>
        <v>Oct</v>
      </c>
      <c r="I470" s="2">
        <f t="shared" si="44"/>
        <v>10</v>
      </c>
      <c r="J470" s="2" t="str">
        <f t="shared" si="45"/>
        <v>2024-10</v>
      </c>
      <c r="K470" s="2">
        <f t="shared" si="46"/>
        <v>42</v>
      </c>
      <c r="L470" s="2">
        <f ca="1">AVERAGE(OFFSET(USD_NGN_Historical_Data__17[[#This Row],[Rate]], -6, 0, 7, 1))</f>
        <v>1628.5714285714287</v>
      </c>
      <c r="M470" s="2" t="str">
        <f t="shared" si="47"/>
        <v>Thu</v>
      </c>
    </row>
    <row r="471" spans="1:13" x14ac:dyDescent="0.35">
      <c r="A471" s="4">
        <v>45583</v>
      </c>
      <c r="B471" s="2">
        <v>1635</v>
      </c>
      <c r="C471" s="2">
        <v>1635</v>
      </c>
      <c r="D471" s="2">
        <v>1656.08</v>
      </c>
      <c r="E471" s="2">
        <v>1631.865</v>
      </c>
      <c r="F471" s="1">
        <v>0</v>
      </c>
      <c r="G471" s="2">
        <f t="shared" si="42"/>
        <v>2024</v>
      </c>
      <c r="H471" s="2" t="str">
        <f t="shared" si="43"/>
        <v>Oct</v>
      </c>
      <c r="I471" s="2">
        <f t="shared" si="44"/>
        <v>10</v>
      </c>
      <c r="J471" s="2" t="str">
        <f t="shared" si="45"/>
        <v>2024-10</v>
      </c>
      <c r="K471" s="2">
        <f t="shared" si="46"/>
        <v>42</v>
      </c>
      <c r="L471" s="2">
        <f ca="1">AVERAGE(OFFSET(USD_NGN_Historical_Data__17[[#This Row],[Rate]], -6, 0, 7, 1))</f>
        <v>1630.7142857142858</v>
      </c>
      <c r="M471" s="2" t="str">
        <f t="shared" si="47"/>
        <v>Fri</v>
      </c>
    </row>
    <row r="472" spans="1:13" x14ac:dyDescent="0.35">
      <c r="A472" s="4">
        <v>45586</v>
      </c>
      <c r="B472" s="2">
        <v>1643.26</v>
      </c>
      <c r="C472" s="2">
        <v>1652.73</v>
      </c>
      <c r="D472" s="2">
        <v>1670.865</v>
      </c>
      <c r="E472" s="2">
        <v>1627.5</v>
      </c>
      <c r="F472" s="1">
        <v>5.1000000000000004E-3</v>
      </c>
      <c r="G472" s="2">
        <f t="shared" si="42"/>
        <v>2024</v>
      </c>
      <c r="H472" s="2" t="str">
        <f t="shared" si="43"/>
        <v>Oct</v>
      </c>
      <c r="I472" s="2">
        <f t="shared" si="44"/>
        <v>10</v>
      </c>
      <c r="J472" s="2" t="str">
        <f t="shared" si="45"/>
        <v>2024-10</v>
      </c>
      <c r="K472" s="2">
        <f t="shared" si="46"/>
        <v>43</v>
      </c>
      <c r="L472" s="2">
        <f ca="1">AVERAGE(OFFSET(USD_NGN_Historical_Data__17[[#This Row],[Rate]], -6, 0, 7, 1))</f>
        <v>1634.037142857143</v>
      </c>
      <c r="M472" s="2" t="str">
        <f t="shared" si="47"/>
        <v>Mon</v>
      </c>
    </row>
    <row r="473" spans="1:13" x14ac:dyDescent="0.35">
      <c r="A473" s="4">
        <v>45587</v>
      </c>
      <c r="B473" s="2">
        <v>1643.26</v>
      </c>
      <c r="C473" s="2">
        <v>1643.26</v>
      </c>
      <c r="D473" s="2">
        <v>1659.9949999999999</v>
      </c>
      <c r="E473" s="2">
        <v>1629.67</v>
      </c>
      <c r="F473" s="1">
        <v>0</v>
      </c>
      <c r="G473" s="2">
        <f t="shared" si="42"/>
        <v>2024</v>
      </c>
      <c r="H473" s="2" t="str">
        <f t="shared" si="43"/>
        <v>Oct</v>
      </c>
      <c r="I473" s="2">
        <f t="shared" si="44"/>
        <v>10</v>
      </c>
      <c r="J473" s="2" t="str">
        <f t="shared" si="45"/>
        <v>2024-10</v>
      </c>
      <c r="K473" s="2">
        <f t="shared" si="46"/>
        <v>43</v>
      </c>
      <c r="L473" s="2">
        <f ca="1">AVERAGE(OFFSET(USD_NGN_Historical_Data__17[[#This Row],[Rate]], -6, 0, 7, 1))</f>
        <v>1637.3600000000001</v>
      </c>
      <c r="M473" s="2" t="str">
        <f t="shared" si="47"/>
        <v>Tue</v>
      </c>
    </row>
    <row r="474" spans="1:13" x14ac:dyDescent="0.35">
      <c r="A474" s="4">
        <v>45588</v>
      </c>
      <c r="B474" s="2">
        <v>1643.26</v>
      </c>
      <c r="C474" s="2">
        <v>1643.26</v>
      </c>
      <c r="D474" s="2">
        <v>1653.8</v>
      </c>
      <c r="E474" s="2">
        <v>1624.13</v>
      </c>
      <c r="F474" s="1">
        <v>0</v>
      </c>
      <c r="G474" s="2">
        <f t="shared" si="42"/>
        <v>2024</v>
      </c>
      <c r="H474" s="2" t="str">
        <f t="shared" si="43"/>
        <v>Oct</v>
      </c>
      <c r="I474" s="2">
        <f t="shared" si="44"/>
        <v>10</v>
      </c>
      <c r="J474" s="2" t="str">
        <f t="shared" si="45"/>
        <v>2024-10</v>
      </c>
      <c r="K474" s="2">
        <f t="shared" si="46"/>
        <v>43</v>
      </c>
      <c r="L474" s="2">
        <f ca="1">AVERAGE(OFFSET(USD_NGN_Historical_Data__17[[#This Row],[Rate]], -6, 0, 7, 1))</f>
        <v>1638.5400000000002</v>
      </c>
      <c r="M474" s="2" t="str">
        <f t="shared" si="47"/>
        <v>Wed</v>
      </c>
    </row>
    <row r="475" spans="1:13" x14ac:dyDescent="0.35">
      <c r="A475" s="4">
        <v>45589</v>
      </c>
      <c r="B475" s="2">
        <v>1643.26</v>
      </c>
      <c r="C475" s="2">
        <v>1643.26</v>
      </c>
      <c r="D475" s="2">
        <v>1660.33</v>
      </c>
      <c r="E475" s="2">
        <v>1629.8</v>
      </c>
      <c r="F475" s="1">
        <v>0</v>
      </c>
      <c r="G475" s="2">
        <f t="shared" si="42"/>
        <v>2024</v>
      </c>
      <c r="H475" s="2" t="str">
        <f t="shared" si="43"/>
        <v>Oct</v>
      </c>
      <c r="I475" s="2">
        <f t="shared" si="44"/>
        <v>10</v>
      </c>
      <c r="J475" s="2" t="str">
        <f t="shared" si="45"/>
        <v>2024-10</v>
      </c>
      <c r="K475" s="2">
        <f t="shared" si="46"/>
        <v>43</v>
      </c>
      <c r="L475" s="2">
        <f ca="1">AVERAGE(OFFSET(USD_NGN_Historical_Data__17[[#This Row],[Rate]], -6, 0, 7, 1))</f>
        <v>1639.72</v>
      </c>
      <c r="M475" s="2" t="str">
        <f t="shared" si="47"/>
        <v>Thu</v>
      </c>
    </row>
    <row r="476" spans="1:13" x14ac:dyDescent="0.35">
      <c r="A476" s="4">
        <v>45590</v>
      </c>
      <c r="B476" s="2">
        <v>1643.26</v>
      </c>
      <c r="C476" s="2">
        <v>1643.26</v>
      </c>
      <c r="D476" s="2">
        <v>1677.83</v>
      </c>
      <c r="E476" s="2">
        <v>1627.4749999999999</v>
      </c>
      <c r="F476" s="1">
        <v>0</v>
      </c>
      <c r="G476" s="2">
        <f t="shared" si="42"/>
        <v>2024</v>
      </c>
      <c r="H476" s="2" t="str">
        <f t="shared" si="43"/>
        <v>Oct</v>
      </c>
      <c r="I476" s="2">
        <f t="shared" si="44"/>
        <v>10</v>
      </c>
      <c r="J476" s="2" t="str">
        <f t="shared" si="45"/>
        <v>2024-10</v>
      </c>
      <c r="K476" s="2">
        <f t="shared" si="46"/>
        <v>43</v>
      </c>
      <c r="L476" s="2">
        <f ca="1">AVERAGE(OFFSET(USD_NGN_Historical_Data__17[[#This Row],[Rate]], -6, 0, 7, 1))</f>
        <v>1640.9</v>
      </c>
      <c r="M476" s="2" t="str">
        <f t="shared" si="47"/>
        <v>Fri</v>
      </c>
    </row>
    <row r="477" spans="1:13" x14ac:dyDescent="0.35">
      <c r="A477" s="4">
        <v>45593</v>
      </c>
      <c r="B477" s="2">
        <v>1643.26</v>
      </c>
      <c r="C477" s="2">
        <v>1643.26</v>
      </c>
      <c r="D477" s="2">
        <v>1677.5</v>
      </c>
      <c r="E477" s="2">
        <v>1626.13</v>
      </c>
      <c r="F477" s="1">
        <v>0</v>
      </c>
      <c r="G477" s="2">
        <f t="shared" si="42"/>
        <v>2024</v>
      </c>
      <c r="H477" s="2" t="str">
        <f t="shared" si="43"/>
        <v>Oct</v>
      </c>
      <c r="I477" s="2">
        <f t="shared" si="44"/>
        <v>10</v>
      </c>
      <c r="J477" s="2" t="str">
        <f t="shared" si="45"/>
        <v>2024-10</v>
      </c>
      <c r="K477" s="2">
        <f t="shared" si="46"/>
        <v>44</v>
      </c>
      <c r="L477" s="2">
        <f ca="1">AVERAGE(OFFSET(USD_NGN_Historical_Data__17[[#This Row],[Rate]], -6, 0, 7, 1))</f>
        <v>1642.0800000000002</v>
      </c>
      <c r="M477" s="2" t="str">
        <f t="shared" si="47"/>
        <v>Mon</v>
      </c>
    </row>
    <row r="478" spans="1:13" x14ac:dyDescent="0.35">
      <c r="A478" s="4">
        <v>45594</v>
      </c>
      <c r="B478" s="2">
        <v>1643.26</v>
      </c>
      <c r="C478" s="2">
        <v>1643.26</v>
      </c>
      <c r="D478" s="2">
        <v>1687.05</v>
      </c>
      <c r="E478" s="2">
        <v>1642.05</v>
      </c>
      <c r="F478" s="1">
        <v>0</v>
      </c>
      <c r="G478" s="2">
        <f t="shared" si="42"/>
        <v>2024</v>
      </c>
      <c r="H478" s="2" t="str">
        <f t="shared" si="43"/>
        <v>Oct</v>
      </c>
      <c r="I478" s="2">
        <f t="shared" si="44"/>
        <v>10</v>
      </c>
      <c r="J478" s="2" t="str">
        <f t="shared" si="45"/>
        <v>2024-10</v>
      </c>
      <c r="K478" s="2">
        <f t="shared" si="46"/>
        <v>44</v>
      </c>
      <c r="L478" s="2">
        <f ca="1">AVERAGE(OFFSET(USD_NGN_Historical_Data__17[[#This Row],[Rate]], -6, 0, 7, 1))</f>
        <v>1643.26</v>
      </c>
      <c r="M478" s="2" t="str">
        <f t="shared" si="47"/>
        <v>Tue</v>
      </c>
    </row>
    <row r="479" spans="1:13" x14ac:dyDescent="0.35">
      <c r="A479" s="4">
        <v>45595</v>
      </c>
      <c r="B479" s="2">
        <v>1643.26</v>
      </c>
      <c r="C479" s="2">
        <v>1643.26</v>
      </c>
      <c r="D479" s="2">
        <v>1672.05</v>
      </c>
      <c r="E479" s="2">
        <v>1629.13</v>
      </c>
      <c r="F479" s="1">
        <v>0</v>
      </c>
      <c r="G479" s="2">
        <f t="shared" si="42"/>
        <v>2024</v>
      </c>
      <c r="H479" s="2" t="str">
        <f t="shared" si="43"/>
        <v>Oct</v>
      </c>
      <c r="I479" s="2">
        <f t="shared" si="44"/>
        <v>10</v>
      </c>
      <c r="J479" s="2" t="str">
        <f t="shared" si="45"/>
        <v>2024-10</v>
      </c>
      <c r="K479" s="2">
        <f t="shared" si="46"/>
        <v>44</v>
      </c>
      <c r="L479" s="2">
        <f ca="1">AVERAGE(OFFSET(USD_NGN_Historical_Data__17[[#This Row],[Rate]], -6, 0, 7, 1))</f>
        <v>1643.26</v>
      </c>
      <c r="M479" s="2" t="str">
        <f t="shared" si="47"/>
        <v>Wed</v>
      </c>
    </row>
    <row r="480" spans="1:13" x14ac:dyDescent="0.35">
      <c r="A480" s="4">
        <v>45596</v>
      </c>
      <c r="B480" s="2">
        <v>1643.26</v>
      </c>
      <c r="C480" s="2">
        <v>1643.26</v>
      </c>
      <c r="D480" s="2">
        <v>1666.18</v>
      </c>
      <c r="E480" s="2">
        <v>1635.52</v>
      </c>
      <c r="F480" s="1">
        <v>0</v>
      </c>
      <c r="G480" s="2">
        <f t="shared" si="42"/>
        <v>2024</v>
      </c>
      <c r="H480" s="2" t="str">
        <f t="shared" si="43"/>
        <v>Oct</v>
      </c>
      <c r="I480" s="2">
        <f t="shared" si="44"/>
        <v>10</v>
      </c>
      <c r="J480" s="2" t="str">
        <f t="shared" si="45"/>
        <v>2024-10</v>
      </c>
      <c r="K480" s="2">
        <f t="shared" si="46"/>
        <v>44</v>
      </c>
      <c r="L480" s="2">
        <f ca="1">AVERAGE(OFFSET(USD_NGN_Historical_Data__17[[#This Row],[Rate]], -6, 0, 7, 1))</f>
        <v>1643.26</v>
      </c>
      <c r="M480" s="2" t="str">
        <f t="shared" si="47"/>
        <v>Thu</v>
      </c>
    </row>
    <row r="481" spans="1:13" x14ac:dyDescent="0.35">
      <c r="A481" s="4">
        <v>45597</v>
      </c>
      <c r="B481" s="2">
        <v>1643.26</v>
      </c>
      <c r="C481" s="2">
        <v>1643.26</v>
      </c>
      <c r="D481" s="2">
        <v>1664.39</v>
      </c>
      <c r="E481" s="2">
        <v>1635.22</v>
      </c>
      <c r="F481" s="1">
        <v>0</v>
      </c>
      <c r="G481" s="2">
        <f t="shared" si="42"/>
        <v>2024</v>
      </c>
      <c r="H481" s="2" t="str">
        <f t="shared" si="43"/>
        <v>Nov</v>
      </c>
      <c r="I481" s="2">
        <f t="shared" si="44"/>
        <v>11</v>
      </c>
      <c r="J481" s="2" t="str">
        <f t="shared" si="45"/>
        <v>2024-11</v>
      </c>
      <c r="K481" s="2">
        <f t="shared" si="46"/>
        <v>44</v>
      </c>
      <c r="L481" s="2">
        <f ca="1">AVERAGE(OFFSET(USD_NGN_Historical_Data__17[[#This Row],[Rate]], -6, 0, 7, 1))</f>
        <v>1643.26</v>
      </c>
      <c r="M481" s="2" t="str">
        <f t="shared" si="47"/>
        <v>Fri</v>
      </c>
    </row>
    <row r="482" spans="1:13" x14ac:dyDescent="0.35">
      <c r="A482" s="4">
        <v>45600</v>
      </c>
      <c r="B482" s="2">
        <v>1643.26</v>
      </c>
      <c r="C482" s="2">
        <v>1651.44</v>
      </c>
      <c r="D482" s="2">
        <v>1697.5</v>
      </c>
      <c r="E482" s="2">
        <v>1634.13</v>
      </c>
      <c r="F482" s="1">
        <v>0</v>
      </c>
      <c r="G482" s="2">
        <f t="shared" si="42"/>
        <v>2024</v>
      </c>
      <c r="H482" s="2" t="str">
        <f t="shared" si="43"/>
        <v>Nov</v>
      </c>
      <c r="I482" s="2">
        <f t="shared" si="44"/>
        <v>11</v>
      </c>
      <c r="J482" s="2" t="str">
        <f t="shared" si="45"/>
        <v>2024-11</v>
      </c>
      <c r="K482" s="2">
        <f t="shared" si="46"/>
        <v>45</v>
      </c>
      <c r="L482" s="2">
        <f ca="1">AVERAGE(OFFSET(USD_NGN_Historical_Data__17[[#This Row],[Rate]], -6, 0, 7, 1))</f>
        <v>1643.26</v>
      </c>
      <c r="M482" s="2" t="str">
        <f t="shared" si="47"/>
        <v>Mon</v>
      </c>
    </row>
    <row r="483" spans="1:13" x14ac:dyDescent="0.35">
      <c r="A483" s="4">
        <v>45601</v>
      </c>
      <c r="B483" s="2">
        <v>1649.51</v>
      </c>
      <c r="C483" s="2">
        <v>1666.41</v>
      </c>
      <c r="D483" s="2">
        <v>1690.2049999999999</v>
      </c>
      <c r="E483" s="2">
        <v>1638.18</v>
      </c>
      <c r="F483" s="1">
        <v>3.8E-3</v>
      </c>
      <c r="G483" s="2">
        <f t="shared" si="42"/>
        <v>2024</v>
      </c>
      <c r="H483" s="2" t="str">
        <f t="shared" si="43"/>
        <v>Nov</v>
      </c>
      <c r="I483" s="2">
        <f t="shared" si="44"/>
        <v>11</v>
      </c>
      <c r="J483" s="2" t="str">
        <f t="shared" si="45"/>
        <v>2024-11</v>
      </c>
      <c r="K483" s="2">
        <f t="shared" si="46"/>
        <v>45</v>
      </c>
      <c r="L483" s="2">
        <f ca="1">AVERAGE(OFFSET(USD_NGN_Historical_Data__17[[#This Row],[Rate]], -6, 0, 7, 1))</f>
        <v>1644.1528571428571</v>
      </c>
      <c r="M483" s="2" t="str">
        <f t="shared" si="47"/>
        <v>Tue</v>
      </c>
    </row>
    <row r="484" spans="1:13" x14ac:dyDescent="0.35">
      <c r="A484" s="4">
        <v>45602</v>
      </c>
      <c r="B484" s="2">
        <v>1659.8</v>
      </c>
      <c r="C484" s="2">
        <v>1661.51</v>
      </c>
      <c r="D484" s="2">
        <v>1682.05</v>
      </c>
      <c r="E484" s="2">
        <v>1657.9349999999999</v>
      </c>
      <c r="F484" s="1">
        <v>6.1999999999999998E-3</v>
      </c>
      <c r="G484" s="2">
        <f t="shared" si="42"/>
        <v>2024</v>
      </c>
      <c r="H484" s="2" t="str">
        <f t="shared" si="43"/>
        <v>Nov</v>
      </c>
      <c r="I484" s="2">
        <f t="shared" si="44"/>
        <v>11</v>
      </c>
      <c r="J484" s="2" t="str">
        <f t="shared" si="45"/>
        <v>2024-11</v>
      </c>
      <c r="K484" s="2">
        <f t="shared" si="46"/>
        <v>45</v>
      </c>
      <c r="L484" s="2">
        <f ca="1">AVERAGE(OFFSET(USD_NGN_Historical_Data__17[[#This Row],[Rate]], -6, 0, 7, 1))</f>
        <v>1646.515714285714</v>
      </c>
      <c r="M484" s="2" t="str">
        <f t="shared" si="47"/>
        <v>Wed</v>
      </c>
    </row>
    <row r="485" spans="1:13" x14ac:dyDescent="0.35">
      <c r="A485" s="4">
        <v>45603</v>
      </c>
      <c r="B485" s="2">
        <v>1666.05</v>
      </c>
      <c r="C485" s="2">
        <v>1671.8</v>
      </c>
      <c r="D485" s="2">
        <v>1717.5</v>
      </c>
      <c r="E485" s="2">
        <v>1650</v>
      </c>
      <c r="F485" s="1">
        <v>3.8E-3</v>
      </c>
      <c r="G485" s="2">
        <f t="shared" si="42"/>
        <v>2024</v>
      </c>
      <c r="H485" s="2" t="str">
        <f t="shared" si="43"/>
        <v>Nov</v>
      </c>
      <c r="I485" s="2">
        <f t="shared" si="44"/>
        <v>11</v>
      </c>
      <c r="J485" s="2" t="str">
        <f t="shared" si="45"/>
        <v>2024-11</v>
      </c>
      <c r="K485" s="2">
        <f t="shared" si="46"/>
        <v>45</v>
      </c>
      <c r="L485" s="2">
        <f ca="1">AVERAGE(OFFSET(USD_NGN_Historical_Data__17[[#This Row],[Rate]], -6, 0, 7, 1))</f>
        <v>1649.7714285714283</v>
      </c>
      <c r="M485" s="2" t="str">
        <f t="shared" si="47"/>
        <v>Thu</v>
      </c>
    </row>
    <row r="486" spans="1:13" x14ac:dyDescent="0.35">
      <c r="A486" s="4">
        <v>45604</v>
      </c>
      <c r="B486" s="2">
        <v>1661.15</v>
      </c>
      <c r="C486" s="2">
        <v>1678.05</v>
      </c>
      <c r="D486" s="2">
        <v>1707.7049999999999</v>
      </c>
      <c r="E486" s="2">
        <v>1650</v>
      </c>
      <c r="F486" s="1">
        <v>-2.8999999999999998E-3</v>
      </c>
      <c r="G486" s="2">
        <f t="shared" si="42"/>
        <v>2024</v>
      </c>
      <c r="H486" s="2" t="str">
        <f t="shared" si="43"/>
        <v>Nov</v>
      </c>
      <c r="I486" s="2">
        <f t="shared" si="44"/>
        <v>11</v>
      </c>
      <c r="J486" s="2" t="str">
        <f t="shared" si="45"/>
        <v>2024-11</v>
      </c>
      <c r="K486" s="2">
        <f t="shared" si="46"/>
        <v>45</v>
      </c>
      <c r="L486" s="2">
        <f ca="1">AVERAGE(OFFSET(USD_NGN_Historical_Data__17[[#This Row],[Rate]], -6, 0, 7, 1))</f>
        <v>1652.3271428571427</v>
      </c>
      <c r="M486" s="2" t="str">
        <f t="shared" si="47"/>
        <v>Fri</v>
      </c>
    </row>
    <row r="487" spans="1:13" x14ac:dyDescent="0.35">
      <c r="A487" s="4">
        <v>45607</v>
      </c>
      <c r="B487" s="2">
        <v>1661.15</v>
      </c>
      <c r="C487" s="2">
        <v>1665.84</v>
      </c>
      <c r="D487" s="2">
        <v>1717.5</v>
      </c>
      <c r="E487" s="2">
        <v>1635</v>
      </c>
      <c r="F487" s="1">
        <v>0</v>
      </c>
      <c r="G487" s="2">
        <f t="shared" si="42"/>
        <v>2024</v>
      </c>
      <c r="H487" s="2" t="str">
        <f t="shared" si="43"/>
        <v>Nov</v>
      </c>
      <c r="I487" s="2">
        <f t="shared" si="44"/>
        <v>11</v>
      </c>
      <c r="J487" s="2" t="str">
        <f t="shared" si="45"/>
        <v>2024-11</v>
      </c>
      <c r="K487" s="2">
        <f t="shared" si="46"/>
        <v>46</v>
      </c>
      <c r="L487" s="2">
        <f ca="1">AVERAGE(OFFSET(USD_NGN_Historical_Data__17[[#This Row],[Rate]], -6, 0, 7, 1))</f>
        <v>1654.8828571428569</v>
      </c>
      <c r="M487" s="2" t="str">
        <f t="shared" si="47"/>
        <v>Mon</v>
      </c>
    </row>
    <row r="488" spans="1:13" x14ac:dyDescent="0.35">
      <c r="A488" s="4">
        <v>45608</v>
      </c>
      <c r="B488" s="2">
        <v>1663.35</v>
      </c>
      <c r="C488" s="2">
        <v>1673.15</v>
      </c>
      <c r="D488" s="2">
        <v>1679.31</v>
      </c>
      <c r="E488" s="2">
        <v>1645</v>
      </c>
      <c r="F488" s="1">
        <v>1.2999999999999999E-3</v>
      </c>
      <c r="G488" s="2">
        <f t="shared" si="42"/>
        <v>2024</v>
      </c>
      <c r="H488" s="2" t="str">
        <f t="shared" si="43"/>
        <v>Nov</v>
      </c>
      <c r="I488" s="2">
        <f t="shared" si="44"/>
        <v>11</v>
      </c>
      <c r="J488" s="2" t="str">
        <f t="shared" si="45"/>
        <v>2024-11</v>
      </c>
      <c r="K488" s="2">
        <f t="shared" si="46"/>
        <v>46</v>
      </c>
      <c r="L488" s="2">
        <f ca="1">AVERAGE(OFFSET(USD_NGN_Historical_Data__17[[#This Row],[Rate]], -6, 0, 7, 1))</f>
        <v>1657.7528571428572</v>
      </c>
      <c r="M488" s="2" t="str">
        <f t="shared" si="47"/>
        <v>Tue</v>
      </c>
    </row>
    <row r="489" spans="1:13" x14ac:dyDescent="0.35">
      <c r="A489" s="4">
        <v>45609</v>
      </c>
      <c r="B489" s="2">
        <v>1667.91</v>
      </c>
      <c r="C489" s="2">
        <v>1675.35</v>
      </c>
      <c r="D489" s="2">
        <v>1717.5</v>
      </c>
      <c r="E489" s="2">
        <v>1675.35</v>
      </c>
      <c r="F489" s="1">
        <v>2.7000000000000001E-3</v>
      </c>
      <c r="G489" s="2">
        <f t="shared" si="42"/>
        <v>2024</v>
      </c>
      <c r="H489" s="2" t="str">
        <f t="shared" si="43"/>
        <v>Nov</v>
      </c>
      <c r="I489" s="2">
        <f t="shared" si="44"/>
        <v>11</v>
      </c>
      <c r="J489" s="2" t="str">
        <f t="shared" si="45"/>
        <v>2024-11</v>
      </c>
      <c r="K489" s="2">
        <f t="shared" si="46"/>
        <v>46</v>
      </c>
      <c r="L489" s="2">
        <f ca="1">AVERAGE(OFFSET(USD_NGN_Historical_Data__17[[#This Row],[Rate]], -6, 0, 7, 1))</f>
        <v>1661.2742857142857</v>
      </c>
      <c r="M489" s="2" t="str">
        <f t="shared" si="47"/>
        <v>Wed</v>
      </c>
    </row>
    <row r="490" spans="1:13" x14ac:dyDescent="0.35">
      <c r="A490" s="4">
        <v>45610</v>
      </c>
      <c r="B490" s="2">
        <v>1667.91</v>
      </c>
      <c r="C490" s="2">
        <v>1679.91</v>
      </c>
      <c r="D490" s="2">
        <v>1691.2850000000001</v>
      </c>
      <c r="E490" s="2">
        <v>1677.2850000000001</v>
      </c>
      <c r="F490" s="1">
        <v>0</v>
      </c>
      <c r="G490" s="2">
        <f t="shared" si="42"/>
        <v>2024</v>
      </c>
      <c r="H490" s="2" t="str">
        <f t="shared" si="43"/>
        <v>Nov</v>
      </c>
      <c r="I490" s="2">
        <f t="shared" si="44"/>
        <v>11</v>
      </c>
      <c r="J490" s="2" t="str">
        <f t="shared" si="45"/>
        <v>2024-11</v>
      </c>
      <c r="K490" s="2">
        <f t="shared" si="46"/>
        <v>46</v>
      </c>
      <c r="L490" s="2">
        <f ca="1">AVERAGE(OFFSET(USD_NGN_Historical_Data__17[[#This Row],[Rate]], -6, 0, 7, 1))</f>
        <v>1663.9028571428571</v>
      </c>
      <c r="M490" s="2" t="str">
        <f t="shared" si="47"/>
        <v>Thu</v>
      </c>
    </row>
    <row r="491" spans="1:13" x14ac:dyDescent="0.35">
      <c r="A491" s="4">
        <v>45611</v>
      </c>
      <c r="B491" s="2">
        <v>1654.63</v>
      </c>
      <c r="C491" s="2">
        <v>1679.91</v>
      </c>
      <c r="D491" s="2">
        <v>1689.74</v>
      </c>
      <c r="E491" s="2">
        <v>1635</v>
      </c>
      <c r="F491" s="1">
        <v>-8.0000000000000002E-3</v>
      </c>
      <c r="G491" s="2">
        <f t="shared" si="42"/>
        <v>2024</v>
      </c>
      <c r="H491" s="2" t="str">
        <f t="shared" si="43"/>
        <v>Nov</v>
      </c>
      <c r="I491" s="2">
        <f t="shared" si="44"/>
        <v>11</v>
      </c>
      <c r="J491" s="2" t="str">
        <f t="shared" si="45"/>
        <v>2024-11</v>
      </c>
      <c r="K491" s="2">
        <f t="shared" si="46"/>
        <v>46</v>
      </c>
      <c r="L491" s="2">
        <f ca="1">AVERAGE(OFFSET(USD_NGN_Historical_Data__17[[#This Row],[Rate]], -6, 0, 7, 1))</f>
        <v>1663.1642857142858</v>
      </c>
      <c r="M491" s="2" t="str">
        <f t="shared" si="47"/>
        <v>Fri</v>
      </c>
    </row>
    <row r="492" spans="1:13" x14ac:dyDescent="0.35">
      <c r="A492" s="4">
        <v>45614</v>
      </c>
      <c r="B492" s="2">
        <v>1664.95</v>
      </c>
      <c r="C492" s="2">
        <v>1658.93</v>
      </c>
      <c r="D492" s="2">
        <v>1697.5</v>
      </c>
      <c r="E492" s="2">
        <v>1657.28</v>
      </c>
      <c r="F492" s="1">
        <v>6.1999999999999998E-3</v>
      </c>
      <c r="G492" s="2">
        <f t="shared" si="42"/>
        <v>2024</v>
      </c>
      <c r="H492" s="2" t="str">
        <f t="shared" si="43"/>
        <v>Nov</v>
      </c>
      <c r="I492" s="2">
        <f t="shared" si="44"/>
        <v>11</v>
      </c>
      <c r="J492" s="2" t="str">
        <f t="shared" si="45"/>
        <v>2024-11</v>
      </c>
      <c r="K492" s="2">
        <f t="shared" si="46"/>
        <v>47</v>
      </c>
      <c r="L492" s="2">
        <f ca="1">AVERAGE(OFFSET(USD_NGN_Historical_Data__17[[#This Row],[Rate]], -6, 0, 7, 1))</f>
        <v>1663.0071428571428</v>
      </c>
      <c r="M492" s="2" t="str">
        <f t="shared" si="47"/>
        <v>Mon</v>
      </c>
    </row>
    <row r="493" spans="1:13" x14ac:dyDescent="0.35">
      <c r="A493" s="4">
        <v>45615</v>
      </c>
      <c r="B493" s="2">
        <v>1666.69</v>
      </c>
      <c r="C493" s="2">
        <v>1676.95</v>
      </c>
      <c r="D493" s="2">
        <v>1708.61</v>
      </c>
      <c r="E493" s="2">
        <v>1650</v>
      </c>
      <c r="F493" s="1">
        <v>1E-3</v>
      </c>
      <c r="G493" s="2">
        <f t="shared" si="42"/>
        <v>2024</v>
      </c>
      <c r="H493" s="2" t="str">
        <f t="shared" si="43"/>
        <v>Nov</v>
      </c>
      <c r="I493" s="2">
        <f t="shared" si="44"/>
        <v>11</v>
      </c>
      <c r="J493" s="2" t="str">
        <f t="shared" si="45"/>
        <v>2024-11</v>
      </c>
      <c r="K493" s="2">
        <f t="shared" si="46"/>
        <v>47</v>
      </c>
      <c r="L493" s="2">
        <f ca="1">AVERAGE(OFFSET(USD_NGN_Historical_Data__17[[#This Row],[Rate]], -6, 0, 7, 1))</f>
        <v>1663.7985714285717</v>
      </c>
      <c r="M493" s="2" t="str">
        <f t="shared" si="47"/>
        <v>Tue</v>
      </c>
    </row>
    <row r="494" spans="1:13" x14ac:dyDescent="0.35">
      <c r="A494" s="4">
        <v>45616</v>
      </c>
      <c r="B494" s="2">
        <v>1669.07</v>
      </c>
      <c r="C494" s="2">
        <v>1678.69</v>
      </c>
      <c r="D494" s="2">
        <v>1717.5</v>
      </c>
      <c r="E494" s="2">
        <v>1671.645</v>
      </c>
      <c r="F494" s="1">
        <v>1.4E-3</v>
      </c>
      <c r="G494" s="2">
        <f t="shared" si="42"/>
        <v>2024</v>
      </c>
      <c r="H494" s="2" t="str">
        <f t="shared" si="43"/>
        <v>Nov</v>
      </c>
      <c r="I494" s="2">
        <f t="shared" si="44"/>
        <v>11</v>
      </c>
      <c r="J494" s="2" t="str">
        <f t="shared" si="45"/>
        <v>2024-11</v>
      </c>
      <c r="K494" s="2">
        <f t="shared" si="46"/>
        <v>47</v>
      </c>
      <c r="L494" s="2">
        <f ca="1">AVERAGE(OFFSET(USD_NGN_Historical_Data__17[[#This Row],[Rate]], -6, 0, 7, 1))</f>
        <v>1664.93</v>
      </c>
      <c r="M494" s="2" t="str">
        <f t="shared" si="47"/>
        <v>Wed</v>
      </c>
    </row>
    <row r="495" spans="1:13" x14ac:dyDescent="0.35">
      <c r="A495" s="4">
        <v>45617</v>
      </c>
      <c r="B495" s="2">
        <v>1681.36</v>
      </c>
      <c r="C495" s="2">
        <v>1681.07</v>
      </c>
      <c r="D495" s="2">
        <v>1693.36</v>
      </c>
      <c r="E495" s="2">
        <v>1672.835</v>
      </c>
      <c r="F495" s="1">
        <v>7.4000000000000003E-3</v>
      </c>
      <c r="G495" s="2">
        <f t="shared" si="42"/>
        <v>2024</v>
      </c>
      <c r="H495" s="2" t="str">
        <f t="shared" si="43"/>
        <v>Nov</v>
      </c>
      <c r="I495" s="2">
        <f t="shared" si="44"/>
        <v>11</v>
      </c>
      <c r="J495" s="2" t="str">
        <f t="shared" si="45"/>
        <v>2024-11</v>
      </c>
      <c r="K495" s="2">
        <f t="shared" si="46"/>
        <v>47</v>
      </c>
      <c r="L495" s="2">
        <f ca="1">AVERAGE(OFFSET(USD_NGN_Historical_Data__17[[#This Row],[Rate]], -6, 0, 7, 1))</f>
        <v>1667.5028571428572</v>
      </c>
      <c r="M495" s="2" t="str">
        <f t="shared" si="47"/>
        <v>Thu</v>
      </c>
    </row>
    <row r="496" spans="1:13" x14ac:dyDescent="0.35">
      <c r="A496" s="4">
        <v>45618</v>
      </c>
      <c r="B496" s="2">
        <v>1681.39</v>
      </c>
      <c r="C496" s="2">
        <v>1693.36</v>
      </c>
      <c r="D496" s="2">
        <v>1703.89</v>
      </c>
      <c r="E496" s="2">
        <v>1675.6</v>
      </c>
      <c r="F496" s="1">
        <v>0</v>
      </c>
      <c r="G496" s="2">
        <f t="shared" si="42"/>
        <v>2024</v>
      </c>
      <c r="H496" s="2" t="str">
        <f t="shared" si="43"/>
        <v>Nov</v>
      </c>
      <c r="I496" s="2">
        <f t="shared" si="44"/>
        <v>11</v>
      </c>
      <c r="J496" s="2" t="str">
        <f t="shared" si="45"/>
        <v>2024-11</v>
      </c>
      <c r="K496" s="2">
        <f t="shared" si="46"/>
        <v>47</v>
      </c>
      <c r="L496" s="2">
        <f ca="1">AVERAGE(OFFSET(USD_NGN_Historical_Data__17[[#This Row],[Rate]], -6, 0, 7, 1))</f>
        <v>1669.4285714285713</v>
      </c>
      <c r="M496" s="2" t="str">
        <f t="shared" si="47"/>
        <v>Fri</v>
      </c>
    </row>
    <row r="497" spans="1:13" x14ac:dyDescent="0.35">
      <c r="A497" s="4">
        <v>45621</v>
      </c>
      <c r="B497" s="2">
        <v>1669.26</v>
      </c>
      <c r="C497" s="2">
        <v>1688.78</v>
      </c>
      <c r="D497" s="2">
        <v>1713.89</v>
      </c>
      <c r="E497" s="2">
        <v>1650</v>
      </c>
      <c r="F497" s="1">
        <v>-7.1999999999999998E-3</v>
      </c>
      <c r="G497" s="2">
        <f t="shared" si="42"/>
        <v>2024</v>
      </c>
      <c r="H497" s="2" t="str">
        <f t="shared" si="43"/>
        <v>Nov</v>
      </c>
      <c r="I497" s="2">
        <f t="shared" si="44"/>
        <v>11</v>
      </c>
      <c r="J497" s="2" t="str">
        <f t="shared" si="45"/>
        <v>2024-11</v>
      </c>
      <c r="K497" s="2">
        <f t="shared" si="46"/>
        <v>48</v>
      </c>
      <c r="L497" s="2">
        <f ca="1">AVERAGE(OFFSET(USD_NGN_Historical_Data__17[[#This Row],[Rate]], -6, 0, 7, 1))</f>
        <v>1669.6214285714286</v>
      </c>
      <c r="M497" s="2" t="str">
        <f t="shared" si="47"/>
        <v>Mon</v>
      </c>
    </row>
    <row r="498" spans="1:13" x14ac:dyDescent="0.35">
      <c r="A498" s="4">
        <v>45622</v>
      </c>
      <c r="B498" s="2">
        <v>1677.53</v>
      </c>
      <c r="C498" s="2">
        <v>1681.26</v>
      </c>
      <c r="D498" s="2">
        <v>1705</v>
      </c>
      <c r="E498" s="2">
        <v>1665.99</v>
      </c>
      <c r="F498" s="1">
        <v>5.0000000000000001E-3</v>
      </c>
      <c r="G498" s="2">
        <f t="shared" si="42"/>
        <v>2024</v>
      </c>
      <c r="H498" s="2" t="str">
        <f t="shared" si="43"/>
        <v>Nov</v>
      </c>
      <c r="I498" s="2">
        <f t="shared" si="44"/>
        <v>11</v>
      </c>
      <c r="J498" s="2" t="str">
        <f t="shared" si="45"/>
        <v>2024-11</v>
      </c>
      <c r="K498" s="2">
        <f t="shared" si="46"/>
        <v>48</v>
      </c>
      <c r="L498" s="2">
        <f ca="1">AVERAGE(OFFSET(USD_NGN_Historical_Data__17[[#This Row],[Rate]], -6, 0, 7, 1))</f>
        <v>1672.8928571428571</v>
      </c>
      <c r="M498" s="2" t="str">
        <f t="shared" si="47"/>
        <v>Tue</v>
      </c>
    </row>
    <row r="499" spans="1:13" x14ac:dyDescent="0.35">
      <c r="A499" s="4">
        <v>45623</v>
      </c>
      <c r="B499" s="2">
        <v>1677.66</v>
      </c>
      <c r="C499" s="2">
        <v>1689.53</v>
      </c>
      <c r="D499" s="2">
        <v>1698.61</v>
      </c>
      <c r="E499" s="2">
        <v>1679.125</v>
      </c>
      <c r="F499" s="1">
        <v>1E-4</v>
      </c>
      <c r="G499" s="2">
        <f t="shared" si="42"/>
        <v>2024</v>
      </c>
      <c r="H499" s="2" t="str">
        <f t="shared" si="43"/>
        <v>Nov</v>
      </c>
      <c r="I499" s="2">
        <f t="shared" si="44"/>
        <v>11</v>
      </c>
      <c r="J499" s="2" t="str">
        <f t="shared" si="45"/>
        <v>2024-11</v>
      </c>
      <c r="K499" s="2">
        <f t="shared" si="46"/>
        <v>48</v>
      </c>
      <c r="L499" s="2">
        <f ca="1">AVERAGE(OFFSET(USD_NGN_Historical_Data__17[[#This Row],[Rate]], -6, 0, 7, 1))</f>
        <v>1674.7085714285715</v>
      </c>
      <c r="M499" s="2" t="str">
        <f t="shared" si="47"/>
        <v>Wed</v>
      </c>
    </row>
    <row r="500" spans="1:13" x14ac:dyDescent="0.35">
      <c r="A500" s="4">
        <v>45624</v>
      </c>
      <c r="B500" s="2">
        <v>1670.89</v>
      </c>
      <c r="C500" s="2">
        <v>1689.66</v>
      </c>
      <c r="D500" s="2">
        <v>1690.19</v>
      </c>
      <c r="E500" s="2">
        <v>1620</v>
      </c>
      <c r="F500" s="1">
        <v>-4.0000000000000001E-3</v>
      </c>
      <c r="G500" s="2">
        <f t="shared" si="42"/>
        <v>2024</v>
      </c>
      <c r="H500" s="2" t="str">
        <f t="shared" si="43"/>
        <v>Nov</v>
      </c>
      <c r="I500" s="2">
        <f t="shared" si="44"/>
        <v>11</v>
      </c>
      <c r="J500" s="2" t="str">
        <f t="shared" si="45"/>
        <v>2024-11</v>
      </c>
      <c r="K500" s="2">
        <f t="shared" si="46"/>
        <v>48</v>
      </c>
      <c r="L500" s="2">
        <f ca="1">AVERAGE(OFFSET(USD_NGN_Historical_Data__17[[#This Row],[Rate]], -6, 0, 7, 1))</f>
        <v>1675.3085714285714</v>
      </c>
      <c r="M500" s="2" t="str">
        <f t="shared" si="47"/>
        <v>Thu</v>
      </c>
    </row>
    <row r="501" spans="1:13" x14ac:dyDescent="0.35">
      <c r="A501" s="4">
        <v>45625</v>
      </c>
      <c r="B501" s="2">
        <v>1670.89</v>
      </c>
      <c r="C501" s="2">
        <v>1682.89</v>
      </c>
      <c r="D501" s="2">
        <v>1689.63</v>
      </c>
      <c r="E501" s="2">
        <v>1642.5</v>
      </c>
      <c r="F501" s="1">
        <v>0</v>
      </c>
      <c r="G501" s="2">
        <f t="shared" si="42"/>
        <v>2024</v>
      </c>
      <c r="H501" s="2" t="str">
        <f t="shared" si="43"/>
        <v>Nov</v>
      </c>
      <c r="I501" s="2">
        <f t="shared" si="44"/>
        <v>11</v>
      </c>
      <c r="J501" s="2" t="str">
        <f t="shared" si="45"/>
        <v>2024-11</v>
      </c>
      <c r="K501" s="2">
        <f t="shared" si="46"/>
        <v>48</v>
      </c>
      <c r="L501" s="2">
        <f ca="1">AVERAGE(OFFSET(USD_NGN_Historical_Data__17[[#This Row],[Rate]], -6, 0, 7, 1))</f>
        <v>1675.5685714285714</v>
      </c>
      <c r="M501" s="2" t="str">
        <f t="shared" si="47"/>
        <v>Fri</v>
      </c>
    </row>
    <row r="502" spans="1:13" x14ac:dyDescent="0.35">
      <c r="A502" s="4">
        <v>45628</v>
      </c>
      <c r="B502" s="2">
        <v>1660.92</v>
      </c>
      <c r="C502" s="2">
        <v>1682.89</v>
      </c>
      <c r="D502" s="2">
        <v>1700</v>
      </c>
      <c r="E502" s="2">
        <v>1652.7</v>
      </c>
      <c r="F502" s="1">
        <v>-6.0000000000000001E-3</v>
      </c>
      <c r="G502" s="2">
        <f t="shared" si="42"/>
        <v>2024</v>
      </c>
      <c r="H502" s="2" t="str">
        <f t="shared" si="43"/>
        <v>Dec</v>
      </c>
      <c r="I502" s="2">
        <f t="shared" si="44"/>
        <v>12</v>
      </c>
      <c r="J502" s="2" t="str">
        <f t="shared" si="45"/>
        <v>2024-12</v>
      </c>
      <c r="K502" s="2">
        <f t="shared" si="46"/>
        <v>49</v>
      </c>
      <c r="L502" s="2">
        <f ca="1">AVERAGE(OFFSET(USD_NGN_Historical_Data__17[[#This Row],[Rate]], -6, 0, 7, 1))</f>
        <v>1672.6485714285714</v>
      </c>
      <c r="M502" s="2" t="str">
        <f t="shared" si="47"/>
        <v>Mon</v>
      </c>
    </row>
    <row r="503" spans="1:13" x14ac:dyDescent="0.35">
      <c r="A503" s="4">
        <v>45629</v>
      </c>
      <c r="B503" s="2">
        <v>1648.36</v>
      </c>
      <c r="C503" s="2">
        <v>1672.92</v>
      </c>
      <c r="D503" s="2">
        <v>1682.09</v>
      </c>
      <c r="E503" s="2">
        <v>1640</v>
      </c>
      <c r="F503" s="1">
        <v>-7.6E-3</v>
      </c>
      <c r="G503" s="2">
        <f t="shared" si="42"/>
        <v>2024</v>
      </c>
      <c r="H503" s="2" t="str">
        <f t="shared" si="43"/>
        <v>Dec</v>
      </c>
      <c r="I503" s="2">
        <f t="shared" si="44"/>
        <v>12</v>
      </c>
      <c r="J503" s="2" t="str">
        <f t="shared" si="45"/>
        <v>2024-12</v>
      </c>
      <c r="K503" s="2">
        <f t="shared" si="46"/>
        <v>49</v>
      </c>
      <c r="L503" s="2">
        <f ca="1">AVERAGE(OFFSET(USD_NGN_Historical_Data__17[[#This Row],[Rate]], -6, 0, 7, 1))</f>
        <v>1667.93</v>
      </c>
      <c r="M503" s="2" t="str">
        <f t="shared" si="47"/>
        <v>Tue</v>
      </c>
    </row>
    <row r="504" spans="1:13" x14ac:dyDescent="0.35">
      <c r="A504" s="4">
        <v>45630</v>
      </c>
      <c r="B504" s="2">
        <v>1618.62</v>
      </c>
      <c r="C504" s="2">
        <v>1658.36</v>
      </c>
      <c r="D504" s="2">
        <v>1680.26</v>
      </c>
      <c r="E504" s="2">
        <v>1612.5</v>
      </c>
      <c r="F504" s="1">
        <v>-1.7999999999999999E-2</v>
      </c>
      <c r="G504" s="2">
        <f t="shared" si="42"/>
        <v>2024</v>
      </c>
      <c r="H504" s="2" t="str">
        <f t="shared" si="43"/>
        <v>Dec</v>
      </c>
      <c r="I504" s="2">
        <f t="shared" si="44"/>
        <v>12</v>
      </c>
      <c r="J504" s="2" t="str">
        <f t="shared" si="45"/>
        <v>2024-12</v>
      </c>
      <c r="K504" s="2">
        <f t="shared" si="46"/>
        <v>49</v>
      </c>
      <c r="L504" s="2">
        <f ca="1">AVERAGE(OFFSET(USD_NGN_Historical_Data__17[[#This Row],[Rate]], -6, 0, 7, 1))</f>
        <v>1660.6957142857141</v>
      </c>
      <c r="M504" s="2" t="str">
        <f t="shared" si="47"/>
        <v>Wed</v>
      </c>
    </row>
    <row r="505" spans="1:13" x14ac:dyDescent="0.35">
      <c r="A505" s="4">
        <v>45631</v>
      </c>
      <c r="B505" s="2">
        <v>1595.3</v>
      </c>
      <c r="C505" s="2">
        <v>1628.62</v>
      </c>
      <c r="D505" s="2">
        <v>1640.34</v>
      </c>
      <c r="E505" s="2">
        <v>1550</v>
      </c>
      <c r="F505" s="1">
        <v>-1.44E-2</v>
      </c>
      <c r="G505" s="2">
        <f t="shared" si="42"/>
        <v>2024</v>
      </c>
      <c r="H505" s="2" t="str">
        <f t="shared" si="43"/>
        <v>Dec</v>
      </c>
      <c r="I505" s="2">
        <f t="shared" si="44"/>
        <v>12</v>
      </c>
      <c r="J505" s="2" t="str">
        <f t="shared" si="45"/>
        <v>2024-12</v>
      </c>
      <c r="K505" s="2">
        <f t="shared" si="46"/>
        <v>49</v>
      </c>
      <c r="L505" s="2">
        <f ca="1">AVERAGE(OFFSET(USD_NGN_Historical_Data__17[[#This Row],[Rate]], -6, 0, 7, 1))</f>
        <v>1648.9485714285713</v>
      </c>
      <c r="M505" s="2" t="str">
        <f t="shared" si="47"/>
        <v>Thu</v>
      </c>
    </row>
    <row r="506" spans="1:13" x14ac:dyDescent="0.35">
      <c r="A506" s="4">
        <v>45632</v>
      </c>
      <c r="B506" s="2">
        <v>1542.5</v>
      </c>
      <c r="C506" s="2">
        <v>1605.3</v>
      </c>
      <c r="D506" s="2">
        <v>1652.73</v>
      </c>
      <c r="E506" s="2">
        <v>1535</v>
      </c>
      <c r="F506" s="1">
        <v>-3.3099999999999997E-2</v>
      </c>
      <c r="G506" s="2">
        <f t="shared" si="42"/>
        <v>2024</v>
      </c>
      <c r="H506" s="2" t="str">
        <f t="shared" si="43"/>
        <v>Dec</v>
      </c>
      <c r="I506" s="2">
        <f t="shared" si="44"/>
        <v>12</v>
      </c>
      <c r="J506" s="2" t="str">
        <f t="shared" si="45"/>
        <v>2024-12</v>
      </c>
      <c r="K506" s="2">
        <f t="shared" si="46"/>
        <v>49</v>
      </c>
      <c r="L506" s="2">
        <f ca="1">AVERAGE(OFFSET(USD_NGN_Historical_Data__17[[#This Row],[Rate]], -6, 0, 7, 1))</f>
        <v>1629.6399999999999</v>
      </c>
      <c r="M506" s="2" t="str">
        <f t="shared" si="47"/>
        <v>Fri</v>
      </c>
    </row>
    <row r="507" spans="1:13" x14ac:dyDescent="0.35">
      <c r="A507" s="4">
        <v>45635</v>
      </c>
      <c r="B507" s="2">
        <v>1532.47</v>
      </c>
      <c r="C507" s="2">
        <v>1588.79</v>
      </c>
      <c r="D507" s="2">
        <v>1707.5</v>
      </c>
      <c r="E507" s="2">
        <v>1485</v>
      </c>
      <c r="F507" s="1">
        <v>-6.4999999999999997E-3</v>
      </c>
      <c r="G507" s="2">
        <f t="shared" si="42"/>
        <v>2024</v>
      </c>
      <c r="H507" s="2" t="str">
        <f t="shared" si="43"/>
        <v>Dec</v>
      </c>
      <c r="I507" s="2">
        <f t="shared" si="44"/>
        <v>12</v>
      </c>
      <c r="J507" s="2" t="str">
        <f t="shared" si="45"/>
        <v>2024-12</v>
      </c>
      <c r="K507" s="2">
        <f t="shared" si="46"/>
        <v>50</v>
      </c>
      <c r="L507" s="2">
        <f ca="1">AVERAGE(OFFSET(USD_NGN_Historical_Data__17[[#This Row],[Rate]], -6, 0, 7, 1))</f>
        <v>1609.8657142857141</v>
      </c>
      <c r="M507" s="2" t="str">
        <f t="shared" si="47"/>
        <v>Mon</v>
      </c>
    </row>
    <row r="508" spans="1:13" x14ac:dyDescent="0.35">
      <c r="A508" s="4">
        <v>45636</v>
      </c>
      <c r="B508" s="2">
        <v>1537.5</v>
      </c>
      <c r="C508" s="2">
        <v>1542.47</v>
      </c>
      <c r="D508" s="2">
        <v>1547.5</v>
      </c>
      <c r="E508" s="2">
        <v>1533.615</v>
      </c>
      <c r="F508" s="1">
        <v>3.3E-3</v>
      </c>
      <c r="G508" s="2">
        <f t="shared" si="42"/>
        <v>2024</v>
      </c>
      <c r="H508" s="2" t="str">
        <f t="shared" si="43"/>
        <v>Dec</v>
      </c>
      <c r="I508" s="2">
        <f t="shared" si="44"/>
        <v>12</v>
      </c>
      <c r="J508" s="2" t="str">
        <f t="shared" si="45"/>
        <v>2024-12</v>
      </c>
      <c r="K508" s="2">
        <f t="shared" si="46"/>
        <v>50</v>
      </c>
      <c r="L508" s="2">
        <f ca="1">AVERAGE(OFFSET(USD_NGN_Historical_Data__17[[#This Row],[Rate]], -6, 0, 7, 1))</f>
        <v>1590.81</v>
      </c>
      <c r="M508" s="2" t="str">
        <f t="shared" si="47"/>
        <v>Tue</v>
      </c>
    </row>
    <row r="509" spans="1:13" x14ac:dyDescent="0.35">
      <c r="A509" s="4">
        <v>45637</v>
      </c>
      <c r="B509" s="2">
        <v>1539.29</v>
      </c>
      <c r="C509" s="2">
        <v>1547.5</v>
      </c>
      <c r="D509" s="2">
        <v>1557</v>
      </c>
      <c r="E509" s="2">
        <v>1526.5550000000001</v>
      </c>
      <c r="F509" s="1">
        <v>1.1999999999999999E-3</v>
      </c>
      <c r="G509" s="2">
        <f t="shared" si="42"/>
        <v>2024</v>
      </c>
      <c r="H509" s="2" t="str">
        <f t="shared" si="43"/>
        <v>Dec</v>
      </c>
      <c r="I509" s="2">
        <f t="shared" si="44"/>
        <v>12</v>
      </c>
      <c r="J509" s="2" t="str">
        <f t="shared" si="45"/>
        <v>2024-12</v>
      </c>
      <c r="K509" s="2">
        <f t="shared" si="46"/>
        <v>50</v>
      </c>
      <c r="L509" s="2">
        <f ca="1">AVERAGE(OFFSET(USD_NGN_Historical_Data__17[[#This Row],[Rate]], -6, 0, 7, 1))</f>
        <v>1573.4342857142858</v>
      </c>
      <c r="M509" s="2" t="str">
        <f t="shared" si="47"/>
        <v>Wed</v>
      </c>
    </row>
    <row r="510" spans="1:13" x14ac:dyDescent="0.35">
      <c r="A510" s="4">
        <v>45638</v>
      </c>
      <c r="B510" s="2">
        <v>1537.45</v>
      </c>
      <c r="C510" s="2">
        <v>1549.29</v>
      </c>
      <c r="D510" s="2">
        <v>1562.145</v>
      </c>
      <c r="E510" s="2">
        <v>1526.5550000000001</v>
      </c>
      <c r="F510" s="1">
        <v>-1.1999999999999999E-3</v>
      </c>
      <c r="G510" s="2">
        <f t="shared" si="42"/>
        <v>2024</v>
      </c>
      <c r="H510" s="2" t="str">
        <f t="shared" si="43"/>
        <v>Dec</v>
      </c>
      <c r="I510" s="2">
        <f t="shared" si="44"/>
        <v>12</v>
      </c>
      <c r="J510" s="2" t="str">
        <f t="shared" si="45"/>
        <v>2024-12</v>
      </c>
      <c r="K510" s="2">
        <f t="shared" si="46"/>
        <v>50</v>
      </c>
      <c r="L510" s="2">
        <f ca="1">AVERAGE(OFFSET(USD_NGN_Historical_Data__17[[#This Row],[Rate]], -6, 0, 7, 1))</f>
        <v>1557.5900000000001</v>
      </c>
      <c r="M510" s="2" t="str">
        <f t="shared" si="47"/>
        <v>Thu</v>
      </c>
    </row>
    <row r="511" spans="1:13" x14ac:dyDescent="0.35">
      <c r="A511" s="4">
        <v>45639</v>
      </c>
      <c r="B511" s="2">
        <v>1539.5</v>
      </c>
      <c r="C511" s="2">
        <v>1547.45</v>
      </c>
      <c r="D511" s="2">
        <v>1549.5</v>
      </c>
      <c r="E511" s="2">
        <v>1533.09</v>
      </c>
      <c r="F511" s="1">
        <v>1.2999999999999999E-3</v>
      </c>
      <c r="G511" s="2">
        <f t="shared" si="42"/>
        <v>2024</v>
      </c>
      <c r="H511" s="2" t="str">
        <f t="shared" si="43"/>
        <v>Dec</v>
      </c>
      <c r="I511" s="2">
        <f t="shared" si="44"/>
        <v>12</v>
      </c>
      <c r="J511" s="2" t="str">
        <f t="shared" si="45"/>
        <v>2024-12</v>
      </c>
      <c r="K511" s="2">
        <f t="shared" si="46"/>
        <v>50</v>
      </c>
      <c r="L511" s="2">
        <f ca="1">AVERAGE(OFFSET(USD_NGN_Historical_Data__17[[#This Row],[Rate]], -6, 0, 7, 1))</f>
        <v>1546.287142857143</v>
      </c>
      <c r="M511" s="2" t="str">
        <f t="shared" si="47"/>
        <v>Fri</v>
      </c>
    </row>
    <row r="512" spans="1:13" x14ac:dyDescent="0.35">
      <c r="A512" s="4">
        <v>45642</v>
      </c>
      <c r="B512" s="2">
        <v>1532.27</v>
      </c>
      <c r="C512" s="2">
        <v>1534.6</v>
      </c>
      <c r="D512" s="2">
        <v>1556.8</v>
      </c>
      <c r="E512" s="2">
        <v>1529.635</v>
      </c>
      <c r="F512" s="1">
        <v>-4.7000000000000002E-3</v>
      </c>
      <c r="G512" s="2">
        <f t="shared" si="42"/>
        <v>2024</v>
      </c>
      <c r="H512" s="2" t="str">
        <f t="shared" si="43"/>
        <v>Dec</v>
      </c>
      <c r="I512" s="2">
        <f t="shared" si="44"/>
        <v>12</v>
      </c>
      <c r="J512" s="2" t="str">
        <f t="shared" si="45"/>
        <v>2024-12</v>
      </c>
      <c r="K512" s="2">
        <f t="shared" si="46"/>
        <v>51</v>
      </c>
      <c r="L512" s="2">
        <f ca="1">AVERAGE(OFFSET(USD_NGN_Historical_Data__17[[#This Row],[Rate]], -6, 0, 7, 1))</f>
        <v>1537.282857142857</v>
      </c>
      <c r="M512" s="2" t="str">
        <f t="shared" si="47"/>
        <v>Mon</v>
      </c>
    </row>
    <row r="513" spans="1:13" x14ac:dyDescent="0.35">
      <c r="A513" s="4">
        <v>45643</v>
      </c>
      <c r="B513" s="2">
        <v>1546.75</v>
      </c>
      <c r="C513" s="2">
        <v>1533.27</v>
      </c>
      <c r="D513" s="2">
        <v>1556.75</v>
      </c>
      <c r="E513" s="2">
        <v>1533.27</v>
      </c>
      <c r="F513" s="1">
        <v>9.4999999999999998E-3</v>
      </c>
      <c r="G513" s="2">
        <f t="shared" si="42"/>
        <v>2024</v>
      </c>
      <c r="H513" s="2" t="str">
        <f t="shared" si="43"/>
        <v>Dec</v>
      </c>
      <c r="I513" s="2">
        <f t="shared" si="44"/>
        <v>12</v>
      </c>
      <c r="J513" s="2" t="str">
        <f t="shared" si="45"/>
        <v>2024-12</v>
      </c>
      <c r="K513" s="2">
        <f t="shared" si="46"/>
        <v>51</v>
      </c>
      <c r="L513" s="2">
        <f ca="1">AVERAGE(OFFSET(USD_NGN_Historical_Data__17[[#This Row],[Rate]], -6, 0, 7, 1))</f>
        <v>1537.8899999999999</v>
      </c>
      <c r="M513" s="2" t="str">
        <f t="shared" si="47"/>
        <v>Tue</v>
      </c>
    </row>
    <row r="514" spans="1:13" x14ac:dyDescent="0.35">
      <c r="A514" s="4">
        <v>45644</v>
      </c>
      <c r="B514" s="2">
        <v>1545.45</v>
      </c>
      <c r="C514" s="2">
        <v>1556.75</v>
      </c>
      <c r="D514" s="2">
        <v>1637.5</v>
      </c>
      <c r="E514" s="2">
        <v>1527.2750000000001</v>
      </c>
      <c r="F514" s="1">
        <v>-8.0000000000000004E-4</v>
      </c>
      <c r="G514" s="2">
        <f t="shared" ref="G514:G577" si="48">YEAR(A514)</f>
        <v>2024</v>
      </c>
      <c r="H514" s="2" t="str">
        <f t="shared" ref="H514:H577" si="49">TEXT(A514,"mmm")</f>
        <v>Dec</v>
      </c>
      <c r="I514" s="2">
        <f t="shared" ref="I514:I577" si="50">MONTH(A514)</f>
        <v>12</v>
      </c>
      <c r="J514" s="2" t="str">
        <f t="shared" ref="J514:J577" si="51">TEXT(A514,"yyyy-mm")</f>
        <v>2024-12</v>
      </c>
      <c r="K514" s="2">
        <f t="shared" ref="K514:K577" si="52">WEEKNUM(A514)</f>
        <v>51</v>
      </c>
      <c r="L514" s="2">
        <f ca="1">AVERAGE(OFFSET(USD_NGN_Historical_Data__17[[#This Row],[Rate]], -6, 0, 7, 1))</f>
        <v>1539.7442857142858</v>
      </c>
      <c r="M514" s="2" t="str">
        <f t="shared" ref="M514:M577" si="53">TEXT(A514, "ddd")</f>
        <v>Wed</v>
      </c>
    </row>
    <row r="515" spans="1:13" x14ac:dyDescent="0.35">
      <c r="A515" s="4">
        <v>45645</v>
      </c>
      <c r="B515" s="2">
        <v>1541.43</v>
      </c>
      <c r="C515" s="2">
        <v>1555.45</v>
      </c>
      <c r="D515" s="2">
        <v>1555.45</v>
      </c>
      <c r="E515" s="2">
        <v>1534.11</v>
      </c>
      <c r="F515" s="1">
        <v>-2.5999999999999999E-3</v>
      </c>
      <c r="G515" s="2">
        <f t="shared" si="48"/>
        <v>2024</v>
      </c>
      <c r="H515" s="2" t="str">
        <f t="shared" si="49"/>
        <v>Dec</v>
      </c>
      <c r="I515" s="2">
        <f t="shared" si="50"/>
        <v>12</v>
      </c>
      <c r="J515" s="2" t="str">
        <f t="shared" si="51"/>
        <v>2024-12</v>
      </c>
      <c r="K515" s="2">
        <f t="shared" si="52"/>
        <v>51</v>
      </c>
      <c r="L515" s="2">
        <f ca="1">AVERAGE(OFFSET(USD_NGN_Historical_Data__17[[#This Row],[Rate]], -6, 0, 7, 1))</f>
        <v>1540.3057142857144</v>
      </c>
      <c r="M515" s="2" t="str">
        <f t="shared" si="53"/>
        <v>Thu</v>
      </c>
    </row>
    <row r="516" spans="1:13" x14ac:dyDescent="0.35">
      <c r="A516" s="4">
        <v>45646</v>
      </c>
      <c r="B516" s="2">
        <v>1538.07</v>
      </c>
      <c r="C516" s="2">
        <v>1551.43</v>
      </c>
      <c r="D516" s="2">
        <v>1551.43</v>
      </c>
      <c r="E516" s="2">
        <v>1537.43</v>
      </c>
      <c r="F516" s="1">
        <v>-2.2000000000000001E-3</v>
      </c>
      <c r="G516" s="2">
        <f t="shared" si="48"/>
        <v>2024</v>
      </c>
      <c r="H516" s="2" t="str">
        <f t="shared" si="49"/>
        <v>Dec</v>
      </c>
      <c r="I516" s="2">
        <f t="shared" si="50"/>
        <v>12</v>
      </c>
      <c r="J516" s="2" t="str">
        <f t="shared" si="51"/>
        <v>2024-12</v>
      </c>
      <c r="K516" s="2">
        <f t="shared" si="52"/>
        <v>51</v>
      </c>
      <c r="L516" s="2">
        <f ca="1">AVERAGE(OFFSET(USD_NGN_Historical_Data__17[[#This Row],[Rate]], -6, 0, 7, 1))</f>
        <v>1540.1314285714284</v>
      </c>
      <c r="M516" s="2" t="str">
        <f t="shared" si="53"/>
        <v>Fri</v>
      </c>
    </row>
    <row r="517" spans="1:13" x14ac:dyDescent="0.35">
      <c r="A517" s="4">
        <v>45649</v>
      </c>
      <c r="B517" s="2">
        <v>1538.07</v>
      </c>
      <c r="C517" s="2">
        <v>1537.43</v>
      </c>
      <c r="D517" s="2">
        <v>1560</v>
      </c>
      <c r="E517" s="2">
        <v>1531.4649999999999</v>
      </c>
      <c r="F517" s="1">
        <v>0</v>
      </c>
      <c r="G517" s="2">
        <f t="shared" si="48"/>
        <v>2024</v>
      </c>
      <c r="H517" s="2" t="str">
        <f t="shared" si="49"/>
        <v>Dec</v>
      </c>
      <c r="I517" s="2">
        <f t="shared" si="50"/>
        <v>12</v>
      </c>
      <c r="J517" s="2" t="str">
        <f t="shared" si="51"/>
        <v>2024-12</v>
      </c>
      <c r="K517" s="2">
        <f t="shared" si="52"/>
        <v>52</v>
      </c>
      <c r="L517" s="2">
        <f ca="1">AVERAGE(OFFSET(USD_NGN_Historical_Data__17[[#This Row],[Rate]], -6, 0, 7, 1))</f>
        <v>1540.22</v>
      </c>
      <c r="M517" s="2" t="str">
        <f t="shared" si="53"/>
        <v>Mon</v>
      </c>
    </row>
    <row r="518" spans="1:13" x14ac:dyDescent="0.35">
      <c r="A518" s="4">
        <v>45650</v>
      </c>
      <c r="B518" s="2">
        <v>1538.07</v>
      </c>
      <c r="C518" s="2">
        <v>1548.07</v>
      </c>
      <c r="D518" s="2">
        <v>1548.07</v>
      </c>
      <c r="E518" s="2">
        <v>1536.72</v>
      </c>
      <c r="F518" s="1">
        <v>0</v>
      </c>
      <c r="G518" s="2">
        <f t="shared" si="48"/>
        <v>2024</v>
      </c>
      <c r="H518" s="2" t="str">
        <f t="shared" si="49"/>
        <v>Dec</v>
      </c>
      <c r="I518" s="2">
        <f t="shared" si="50"/>
        <v>12</v>
      </c>
      <c r="J518" s="2" t="str">
        <f t="shared" si="51"/>
        <v>2024-12</v>
      </c>
      <c r="K518" s="2">
        <f t="shared" si="52"/>
        <v>52</v>
      </c>
      <c r="L518" s="2">
        <f ca="1">AVERAGE(OFFSET(USD_NGN_Historical_Data__17[[#This Row],[Rate]], -6, 0, 7, 1))</f>
        <v>1540.0157142857145</v>
      </c>
      <c r="M518" s="2" t="str">
        <f t="shared" si="53"/>
        <v>Tue</v>
      </c>
    </row>
    <row r="519" spans="1:13" x14ac:dyDescent="0.35">
      <c r="A519" s="4">
        <v>45651</v>
      </c>
      <c r="B519" s="2">
        <v>1535.72</v>
      </c>
      <c r="C519" s="2">
        <v>1535.72</v>
      </c>
      <c r="D519" s="2">
        <v>1535.72</v>
      </c>
      <c r="E519" s="2">
        <v>1535.72</v>
      </c>
      <c r="F519" s="1">
        <v>-1.5E-3</v>
      </c>
      <c r="G519" s="2">
        <f t="shared" si="48"/>
        <v>2024</v>
      </c>
      <c r="H519" s="2" t="str">
        <f t="shared" si="49"/>
        <v>Dec</v>
      </c>
      <c r="I519" s="2">
        <f t="shared" si="50"/>
        <v>12</v>
      </c>
      <c r="J519" s="2" t="str">
        <f t="shared" si="51"/>
        <v>2024-12</v>
      </c>
      <c r="K519" s="2">
        <f t="shared" si="52"/>
        <v>52</v>
      </c>
      <c r="L519" s="2">
        <f ca="1">AVERAGE(OFFSET(USD_NGN_Historical_Data__17[[#This Row],[Rate]], -6, 0, 7, 1))</f>
        <v>1540.5085714285713</v>
      </c>
      <c r="M519" s="2" t="str">
        <f t="shared" si="53"/>
        <v>Wed</v>
      </c>
    </row>
    <row r="520" spans="1:13" x14ac:dyDescent="0.35">
      <c r="A520" s="4">
        <v>45652</v>
      </c>
      <c r="B520" s="2">
        <v>1537.57</v>
      </c>
      <c r="C520" s="2">
        <v>1538.57</v>
      </c>
      <c r="D520" s="2">
        <v>1538.57</v>
      </c>
      <c r="E520" s="2">
        <v>1538.57</v>
      </c>
      <c r="F520" s="1">
        <v>1.1999999999999999E-3</v>
      </c>
      <c r="G520" s="2">
        <f t="shared" si="48"/>
        <v>2024</v>
      </c>
      <c r="H520" s="2" t="str">
        <f t="shared" si="49"/>
        <v>Dec</v>
      </c>
      <c r="I520" s="2">
        <f t="shared" si="50"/>
        <v>12</v>
      </c>
      <c r="J520" s="2" t="str">
        <f t="shared" si="51"/>
        <v>2024-12</v>
      </c>
      <c r="K520" s="2">
        <f t="shared" si="52"/>
        <v>52</v>
      </c>
      <c r="L520" s="2">
        <f ca="1">AVERAGE(OFFSET(USD_NGN_Historical_Data__17[[#This Row],[Rate]], -6, 0, 7, 1))</f>
        <v>1539.1971428571428</v>
      </c>
      <c r="M520" s="2" t="str">
        <f t="shared" si="53"/>
        <v>Thu</v>
      </c>
    </row>
    <row r="521" spans="1:13" x14ac:dyDescent="0.35">
      <c r="A521" s="4">
        <v>45653</v>
      </c>
      <c r="B521" s="2">
        <v>1539</v>
      </c>
      <c r="C521" s="2">
        <v>1538.57</v>
      </c>
      <c r="D521" s="2">
        <v>1559.5</v>
      </c>
      <c r="E521" s="2">
        <v>1532.2850000000001</v>
      </c>
      <c r="F521" s="1">
        <v>8.9999999999999998E-4</v>
      </c>
      <c r="G521" s="2">
        <f t="shared" si="48"/>
        <v>2024</v>
      </c>
      <c r="H521" s="2" t="str">
        <f t="shared" si="49"/>
        <v>Dec</v>
      </c>
      <c r="I521" s="2">
        <f t="shared" si="50"/>
        <v>12</v>
      </c>
      <c r="J521" s="2" t="str">
        <f t="shared" si="51"/>
        <v>2024-12</v>
      </c>
      <c r="K521" s="2">
        <f t="shared" si="52"/>
        <v>52</v>
      </c>
      <c r="L521" s="2">
        <f ca="1">AVERAGE(OFFSET(USD_NGN_Historical_Data__17[[#This Row],[Rate]], -6, 0, 7, 1))</f>
        <v>1538.2757142857142</v>
      </c>
      <c r="M521" s="2" t="str">
        <f t="shared" si="53"/>
        <v>Fri</v>
      </c>
    </row>
    <row r="522" spans="1:13" x14ac:dyDescent="0.35">
      <c r="A522" s="4">
        <v>45656</v>
      </c>
      <c r="B522" s="2">
        <v>1534</v>
      </c>
      <c r="C522" s="2">
        <v>1538.57</v>
      </c>
      <c r="D522" s="2">
        <v>1559.5</v>
      </c>
      <c r="E522" s="2">
        <v>1532.2850000000001</v>
      </c>
      <c r="F522" s="1">
        <v>-3.2000000000000002E-3</v>
      </c>
      <c r="G522" s="2">
        <f t="shared" si="48"/>
        <v>2024</v>
      </c>
      <c r="H522" s="2" t="str">
        <f t="shared" si="49"/>
        <v>Dec</v>
      </c>
      <c r="I522" s="2">
        <f t="shared" si="50"/>
        <v>12</v>
      </c>
      <c r="J522" s="2" t="str">
        <f t="shared" si="51"/>
        <v>2024-12</v>
      </c>
      <c r="K522" s="2">
        <f t="shared" si="52"/>
        <v>53</v>
      </c>
      <c r="L522" s="2">
        <f ca="1">AVERAGE(OFFSET(USD_NGN_Historical_Data__17[[#This Row],[Rate]], -6, 0, 7, 1))</f>
        <v>1537.2142857142858</v>
      </c>
      <c r="M522" s="2" t="str">
        <f t="shared" si="53"/>
        <v>Mon</v>
      </c>
    </row>
    <row r="523" spans="1:13" x14ac:dyDescent="0.35">
      <c r="A523" s="4">
        <v>45657</v>
      </c>
      <c r="B523" s="2">
        <v>1534</v>
      </c>
      <c r="C523" s="2">
        <v>1544</v>
      </c>
      <c r="D523" s="2">
        <v>1545.7850000000001</v>
      </c>
      <c r="E523" s="2">
        <v>1536.7850000000001</v>
      </c>
      <c r="F523" s="1">
        <v>0</v>
      </c>
      <c r="G523" s="2">
        <f t="shared" si="48"/>
        <v>2024</v>
      </c>
      <c r="H523" s="2" t="str">
        <f t="shared" si="49"/>
        <v>Dec</v>
      </c>
      <c r="I523" s="2">
        <f t="shared" si="50"/>
        <v>12</v>
      </c>
      <c r="J523" s="2" t="str">
        <f t="shared" si="51"/>
        <v>2024-12</v>
      </c>
      <c r="K523" s="2">
        <f t="shared" si="52"/>
        <v>53</v>
      </c>
      <c r="L523" s="2">
        <f ca="1">AVERAGE(OFFSET(USD_NGN_Historical_Data__17[[#This Row],[Rate]], -6, 0, 7, 1))</f>
        <v>1536.6328571428571</v>
      </c>
      <c r="M523" s="2" t="str">
        <f t="shared" si="53"/>
        <v>Tue</v>
      </c>
    </row>
    <row r="524" spans="1:13" x14ac:dyDescent="0.35">
      <c r="A524" s="4">
        <v>45658</v>
      </c>
      <c r="B524" s="2">
        <v>1537.57</v>
      </c>
      <c r="C524" s="2">
        <v>1538.57</v>
      </c>
      <c r="D524" s="2">
        <v>1538.57</v>
      </c>
      <c r="E524" s="2">
        <v>1538.57</v>
      </c>
      <c r="F524" s="1">
        <v>2.3E-3</v>
      </c>
      <c r="G524" s="2">
        <f t="shared" si="48"/>
        <v>2025</v>
      </c>
      <c r="H524" s="2" t="str">
        <f t="shared" si="49"/>
        <v>Jan</v>
      </c>
      <c r="I524" s="2">
        <f t="shared" si="50"/>
        <v>1</v>
      </c>
      <c r="J524" s="2" t="str">
        <f t="shared" si="51"/>
        <v>2025-01</v>
      </c>
      <c r="K524" s="2">
        <f t="shared" si="52"/>
        <v>1</v>
      </c>
      <c r="L524" s="2">
        <f ca="1">AVERAGE(OFFSET(USD_NGN_Historical_Data__17[[#This Row],[Rate]], -6, 0, 7, 1))</f>
        <v>1536.5614285714287</v>
      </c>
      <c r="M524" s="2" t="str">
        <f t="shared" si="53"/>
        <v>Wed</v>
      </c>
    </row>
    <row r="525" spans="1:13" x14ac:dyDescent="0.35">
      <c r="A525" s="4">
        <v>45659</v>
      </c>
      <c r="B525" s="2">
        <v>1538</v>
      </c>
      <c r="C525" s="2">
        <v>1544</v>
      </c>
      <c r="D525" s="2">
        <v>1548</v>
      </c>
      <c r="E525" s="2">
        <v>1536.7850000000001</v>
      </c>
      <c r="F525" s="1">
        <v>2.9999999999999997E-4</v>
      </c>
      <c r="G525" s="2">
        <f t="shared" si="48"/>
        <v>2025</v>
      </c>
      <c r="H525" s="2" t="str">
        <f t="shared" si="49"/>
        <v>Jan</v>
      </c>
      <c r="I525" s="2">
        <f t="shared" si="50"/>
        <v>1</v>
      </c>
      <c r="J525" s="2" t="str">
        <f t="shared" si="51"/>
        <v>2025-01</v>
      </c>
      <c r="K525" s="2">
        <f t="shared" si="52"/>
        <v>1</v>
      </c>
      <c r="L525" s="2">
        <f ca="1">AVERAGE(OFFSET(USD_NGN_Historical_Data__17[[#This Row],[Rate]], -6, 0, 7, 1))</f>
        <v>1536.5514285714287</v>
      </c>
      <c r="M525" s="2" t="str">
        <f t="shared" si="53"/>
        <v>Thu</v>
      </c>
    </row>
    <row r="526" spans="1:13" x14ac:dyDescent="0.35">
      <c r="A526" s="4">
        <v>45660</v>
      </c>
      <c r="B526" s="2">
        <v>1533.5</v>
      </c>
      <c r="C526" s="2">
        <v>1548</v>
      </c>
      <c r="D526" s="2">
        <v>1559</v>
      </c>
      <c r="E526" s="2">
        <v>1528.5</v>
      </c>
      <c r="F526" s="1">
        <v>-2.8999999999999998E-3</v>
      </c>
      <c r="G526" s="2">
        <f t="shared" si="48"/>
        <v>2025</v>
      </c>
      <c r="H526" s="2" t="str">
        <f t="shared" si="49"/>
        <v>Jan</v>
      </c>
      <c r="I526" s="2">
        <f t="shared" si="50"/>
        <v>1</v>
      </c>
      <c r="J526" s="2" t="str">
        <f t="shared" si="51"/>
        <v>2025-01</v>
      </c>
      <c r="K526" s="2">
        <f t="shared" si="52"/>
        <v>1</v>
      </c>
      <c r="L526" s="2">
        <f ca="1">AVERAGE(OFFSET(USD_NGN_Historical_Data__17[[#This Row],[Rate]], -6, 0, 7, 1))</f>
        <v>1536.2342857142855</v>
      </c>
      <c r="M526" s="2" t="str">
        <f t="shared" si="53"/>
        <v>Fri</v>
      </c>
    </row>
    <row r="527" spans="1:13" x14ac:dyDescent="0.35">
      <c r="A527" s="4">
        <v>45663</v>
      </c>
      <c r="B527" s="2">
        <v>1532.5</v>
      </c>
      <c r="C527" s="2">
        <v>1536</v>
      </c>
      <c r="D527" s="2">
        <v>1560</v>
      </c>
      <c r="E527" s="2">
        <v>1530</v>
      </c>
      <c r="F527" s="1">
        <v>-6.9999999999999999E-4</v>
      </c>
      <c r="G527" s="2">
        <f t="shared" si="48"/>
        <v>2025</v>
      </c>
      <c r="H527" s="2" t="str">
        <f t="shared" si="49"/>
        <v>Jan</v>
      </c>
      <c r="I527" s="2">
        <f t="shared" si="50"/>
        <v>1</v>
      </c>
      <c r="J527" s="2" t="str">
        <f t="shared" si="51"/>
        <v>2025-01</v>
      </c>
      <c r="K527" s="2">
        <f t="shared" si="52"/>
        <v>2</v>
      </c>
      <c r="L527" s="2">
        <f ca="1">AVERAGE(OFFSET(USD_NGN_Historical_Data__17[[#This Row],[Rate]], -6, 0, 7, 1))</f>
        <v>1535.51</v>
      </c>
      <c r="M527" s="2" t="str">
        <f t="shared" si="53"/>
        <v>Mon</v>
      </c>
    </row>
    <row r="528" spans="1:13" x14ac:dyDescent="0.35">
      <c r="A528" s="4">
        <v>45664</v>
      </c>
      <c r="B528" s="2">
        <v>1528.8</v>
      </c>
      <c r="C528" s="2">
        <v>1542.5</v>
      </c>
      <c r="D528" s="2">
        <v>1543.03</v>
      </c>
      <c r="E528" s="2">
        <v>1531.7049999999999</v>
      </c>
      <c r="F528" s="1">
        <v>-2.3999999999999998E-3</v>
      </c>
      <c r="G528" s="2">
        <f t="shared" si="48"/>
        <v>2025</v>
      </c>
      <c r="H528" s="2" t="str">
        <f t="shared" si="49"/>
        <v>Jan</v>
      </c>
      <c r="I528" s="2">
        <f t="shared" si="50"/>
        <v>1</v>
      </c>
      <c r="J528" s="2" t="str">
        <f t="shared" si="51"/>
        <v>2025-01</v>
      </c>
      <c r="K528" s="2">
        <f t="shared" si="52"/>
        <v>2</v>
      </c>
      <c r="L528" s="2">
        <f ca="1">AVERAGE(OFFSET(USD_NGN_Historical_Data__17[[#This Row],[Rate]], -6, 0, 7, 1))</f>
        <v>1534.052857142857</v>
      </c>
      <c r="M528" s="2" t="str">
        <f t="shared" si="53"/>
        <v>Tue</v>
      </c>
    </row>
    <row r="529" spans="1:13" x14ac:dyDescent="0.35">
      <c r="A529" s="4">
        <v>45665</v>
      </c>
      <c r="B529" s="2">
        <v>1533.83</v>
      </c>
      <c r="C529" s="2">
        <v>1538.8</v>
      </c>
      <c r="D529" s="2">
        <v>1562.5</v>
      </c>
      <c r="E529" s="2">
        <v>1531.7049999999999</v>
      </c>
      <c r="F529" s="1">
        <v>3.3E-3</v>
      </c>
      <c r="G529" s="2">
        <f t="shared" si="48"/>
        <v>2025</v>
      </c>
      <c r="H529" s="2" t="str">
        <f t="shared" si="49"/>
        <v>Jan</v>
      </c>
      <c r="I529" s="2">
        <f t="shared" si="50"/>
        <v>1</v>
      </c>
      <c r="J529" s="2" t="str">
        <f t="shared" si="51"/>
        <v>2025-01</v>
      </c>
      <c r="K529" s="2">
        <f t="shared" si="52"/>
        <v>2</v>
      </c>
      <c r="L529" s="2">
        <f ca="1">AVERAGE(OFFSET(USD_NGN_Historical_Data__17[[#This Row],[Rate]], -6, 0, 7, 1))</f>
        <v>1534.0285714285712</v>
      </c>
      <c r="M529" s="2" t="str">
        <f t="shared" si="53"/>
        <v>Wed</v>
      </c>
    </row>
    <row r="530" spans="1:13" x14ac:dyDescent="0.35">
      <c r="A530" s="4">
        <v>45666</v>
      </c>
      <c r="B530" s="2">
        <v>1541.29</v>
      </c>
      <c r="C530" s="2">
        <v>1543.83</v>
      </c>
      <c r="D530" s="2">
        <v>1567.145</v>
      </c>
      <c r="E530" s="2">
        <v>1533.61</v>
      </c>
      <c r="F530" s="1">
        <v>4.8999999999999998E-3</v>
      </c>
      <c r="G530" s="2">
        <f t="shared" si="48"/>
        <v>2025</v>
      </c>
      <c r="H530" s="2" t="str">
        <f t="shared" si="49"/>
        <v>Jan</v>
      </c>
      <c r="I530" s="2">
        <f t="shared" si="50"/>
        <v>1</v>
      </c>
      <c r="J530" s="2" t="str">
        <f t="shared" si="51"/>
        <v>2025-01</v>
      </c>
      <c r="K530" s="2">
        <f t="shared" si="52"/>
        <v>2</v>
      </c>
      <c r="L530" s="2">
        <f ca="1">AVERAGE(OFFSET(USD_NGN_Historical_Data__17[[#This Row],[Rate]], -6, 0, 7, 1))</f>
        <v>1535.0700000000002</v>
      </c>
      <c r="M530" s="2" t="str">
        <f t="shared" si="53"/>
        <v>Thu</v>
      </c>
    </row>
    <row r="531" spans="1:13" x14ac:dyDescent="0.35">
      <c r="A531" s="4">
        <v>45667</v>
      </c>
      <c r="B531" s="2">
        <v>1541.67</v>
      </c>
      <c r="C531" s="2">
        <v>1551.29</v>
      </c>
      <c r="D531" s="2">
        <v>1565.835</v>
      </c>
      <c r="E531" s="2">
        <v>1533.61</v>
      </c>
      <c r="F531" s="1">
        <v>2.0000000000000001E-4</v>
      </c>
      <c r="G531" s="2">
        <f t="shared" si="48"/>
        <v>2025</v>
      </c>
      <c r="H531" s="2" t="str">
        <f t="shared" si="49"/>
        <v>Jan</v>
      </c>
      <c r="I531" s="2">
        <f t="shared" si="50"/>
        <v>1</v>
      </c>
      <c r="J531" s="2" t="str">
        <f t="shared" si="51"/>
        <v>2025-01</v>
      </c>
      <c r="K531" s="2">
        <f t="shared" si="52"/>
        <v>2</v>
      </c>
      <c r="L531" s="2">
        <f ca="1">AVERAGE(OFFSET(USD_NGN_Historical_Data__17[[#This Row],[Rate]], -6, 0, 7, 1))</f>
        <v>1535.6557142857143</v>
      </c>
      <c r="M531" s="2" t="str">
        <f t="shared" si="53"/>
        <v>Fri</v>
      </c>
    </row>
    <row r="532" spans="1:13" x14ac:dyDescent="0.35">
      <c r="A532" s="4">
        <v>45670</v>
      </c>
      <c r="B532" s="2">
        <v>1539.33</v>
      </c>
      <c r="C532" s="2">
        <v>1533.61</v>
      </c>
      <c r="D532" s="2">
        <v>1565.835</v>
      </c>
      <c r="E532" s="2">
        <v>1533.61</v>
      </c>
      <c r="F532" s="1">
        <v>-1.5E-3</v>
      </c>
      <c r="G532" s="2">
        <f t="shared" si="48"/>
        <v>2025</v>
      </c>
      <c r="H532" s="2" t="str">
        <f t="shared" si="49"/>
        <v>Jan</v>
      </c>
      <c r="I532" s="2">
        <f t="shared" si="50"/>
        <v>1</v>
      </c>
      <c r="J532" s="2" t="str">
        <f t="shared" si="51"/>
        <v>2025-01</v>
      </c>
      <c r="K532" s="2">
        <f t="shared" si="52"/>
        <v>3</v>
      </c>
      <c r="L532" s="2">
        <f ca="1">AVERAGE(OFFSET(USD_NGN_Historical_Data__17[[#This Row],[Rate]], -6, 0, 7, 1))</f>
        <v>1535.8457142857144</v>
      </c>
      <c r="M532" s="2" t="str">
        <f t="shared" si="53"/>
        <v>Mon</v>
      </c>
    </row>
    <row r="533" spans="1:13" x14ac:dyDescent="0.35">
      <c r="A533" s="4">
        <v>45671</v>
      </c>
      <c r="B533" s="2">
        <v>1543.57</v>
      </c>
      <c r="C533" s="2">
        <v>1549.33</v>
      </c>
      <c r="D533" s="2">
        <v>1570.425</v>
      </c>
      <c r="E533" s="2">
        <v>1541.18</v>
      </c>
      <c r="F533" s="1">
        <v>2.8E-3</v>
      </c>
      <c r="G533" s="2">
        <f t="shared" si="48"/>
        <v>2025</v>
      </c>
      <c r="H533" s="2" t="str">
        <f t="shared" si="49"/>
        <v>Jan</v>
      </c>
      <c r="I533" s="2">
        <f t="shared" si="50"/>
        <v>1</v>
      </c>
      <c r="J533" s="2" t="str">
        <f t="shared" si="51"/>
        <v>2025-01</v>
      </c>
      <c r="K533" s="2">
        <f t="shared" si="52"/>
        <v>3</v>
      </c>
      <c r="L533" s="2">
        <f ca="1">AVERAGE(OFFSET(USD_NGN_Historical_Data__17[[#This Row],[Rate]], -6, 0, 7, 1))</f>
        <v>1537.2842857142857</v>
      </c>
      <c r="M533" s="2" t="str">
        <f t="shared" si="53"/>
        <v>Tue</v>
      </c>
    </row>
    <row r="534" spans="1:13" x14ac:dyDescent="0.35">
      <c r="A534" s="4">
        <v>45672</v>
      </c>
      <c r="B534" s="2">
        <v>1545</v>
      </c>
      <c r="C534" s="2">
        <v>1553.57</v>
      </c>
      <c r="D534" s="2">
        <v>1573.335</v>
      </c>
      <c r="E534" s="2">
        <v>1545.71</v>
      </c>
      <c r="F534" s="1">
        <v>8.9999999999999998E-4</v>
      </c>
      <c r="G534" s="2">
        <f t="shared" si="48"/>
        <v>2025</v>
      </c>
      <c r="H534" s="2" t="str">
        <f t="shared" si="49"/>
        <v>Jan</v>
      </c>
      <c r="I534" s="2">
        <f t="shared" si="50"/>
        <v>1</v>
      </c>
      <c r="J534" s="2" t="str">
        <f t="shared" si="51"/>
        <v>2025-01</v>
      </c>
      <c r="K534" s="2">
        <f t="shared" si="52"/>
        <v>3</v>
      </c>
      <c r="L534" s="2">
        <f ca="1">AVERAGE(OFFSET(USD_NGN_Historical_Data__17[[#This Row],[Rate]], -6, 0, 7, 1))</f>
        <v>1539.07</v>
      </c>
      <c r="M534" s="2" t="str">
        <f t="shared" si="53"/>
        <v>Wed</v>
      </c>
    </row>
    <row r="535" spans="1:13" x14ac:dyDescent="0.35">
      <c r="A535" s="4">
        <v>45673</v>
      </c>
      <c r="B535" s="2">
        <v>1550.2</v>
      </c>
      <c r="C535" s="2">
        <v>1555</v>
      </c>
      <c r="D535" s="2">
        <v>1572.6</v>
      </c>
      <c r="E535" s="2">
        <v>1544.335</v>
      </c>
      <c r="F535" s="1">
        <v>3.3999999999999998E-3</v>
      </c>
      <c r="G535" s="2">
        <f t="shared" si="48"/>
        <v>2025</v>
      </c>
      <c r="H535" s="2" t="str">
        <f t="shared" si="49"/>
        <v>Jan</v>
      </c>
      <c r="I535" s="2">
        <f t="shared" si="50"/>
        <v>1</v>
      </c>
      <c r="J535" s="2" t="str">
        <f t="shared" si="51"/>
        <v>2025-01</v>
      </c>
      <c r="K535" s="2">
        <f t="shared" si="52"/>
        <v>3</v>
      </c>
      <c r="L535" s="2">
        <f ca="1">AVERAGE(OFFSET(USD_NGN_Historical_Data__17[[#This Row],[Rate]], -6, 0, 7, 1))</f>
        <v>1542.1271428571429</v>
      </c>
      <c r="M535" s="2" t="str">
        <f t="shared" si="53"/>
        <v>Thu</v>
      </c>
    </row>
    <row r="536" spans="1:13" x14ac:dyDescent="0.35">
      <c r="A536" s="4">
        <v>45674</v>
      </c>
      <c r="B536" s="2">
        <v>1546.71</v>
      </c>
      <c r="C536" s="2">
        <v>1560.2</v>
      </c>
      <c r="D536" s="2">
        <v>1562.6</v>
      </c>
      <c r="E536" s="2">
        <v>1547.6</v>
      </c>
      <c r="F536" s="1">
        <v>-2.3E-3</v>
      </c>
      <c r="G536" s="2">
        <f t="shared" si="48"/>
        <v>2025</v>
      </c>
      <c r="H536" s="2" t="str">
        <f t="shared" si="49"/>
        <v>Jan</v>
      </c>
      <c r="I536" s="2">
        <f t="shared" si="50"/>
        <v>1</v>
      </c>
      <c r="J536" s="2" t="str">
        <f t="shared" si="51"/>
        <v>2025-01</v>
      </c>
      <c r="K536" s="2">
        <f t="shared" si="52"/>
        <v>3</v>
      </c>
      <c r="L536" s="2">
        <f ca="1">AVERAGE(OFFSET(USD_NGN_Historical_Data__17[[#This Row],[Rate]], -6, 0, 7, 1))</f>
        <v>1543.967142857143</v>
      </c>
      <c r="M536" s="2" t="str">
        <f t="shared" si="53"/>
        <v>Fri</v>
      </c>
    </row>
    <row r="537" spans="1:13" x14ac:dyDescent="0.35">
      <c r="A537" s="4">
        <v>45677</v>
      </c>
      <c r="B537" s="2">
        <v>1544.11</v>
      </c>
      <c r="C537" s="2">
        <v>1549.2</v>
      </c>
      <c r="D537" s="2">
        <v>1573.6</v>
      </c>
      <c r="E537" s="2">
        <v>1544.5</v>
      </c>
      <c r="F537" s="1">
        <v>-1.6999999999999999E-3</v>
      </c>
      <c r="G537" s="2">
        <f t="shared" si="48"/>
        <v>2025</v>
      </c>
      <c r="H537" s="2" t="str">
        <f t="shared" si="49"/>
        <v>Jan</v>
      </c>
      <c r="I537" s="2">
        <f t="shared" si="50"/>
        <v>1</v>
      </c>
      <c r="J537" s="2" t="str">
        <f t="shared" si="51"/>
        <v>2025-01</v>
      </c>
      <c r="K537" s="2">
        <f t="shared" si="52"/>
        <v>4</v>
      </c>
      <c r="L537" s="2">
        <f ca="1">AVERAGE(OFFSET(USD_NGN_Historical_Data__17[[#This Row],[Rate]], -6, 0, 7, 1))</f>
        <v>1544.3700000000001</v>
      </c>
      <c r="M537" s="2" t="str">
        <f t="shared" si="53"/>
        <v>Mon</v>
      </c>
    </row>
    <row r="538" spans="1:13" x14ac:dyDescent="0.35">
      <c r="A538" s="4">
        <v>45678</v>
      </c>
      <c r="B538" s="2">
        <v>1545</v>
      </c>
      <c r="C538" s="2">
        <v>1554.11</v>
      </c>
      <c r="D538" s="2">
        <v>1556.5</v>
      </c>
      <c r="E538" s="2">
        <v>1546.5550000000001</v>
      </c>
      <c r="F538" s="1">
        <v>5.9999999999999995E-4</v>
      </c>
      <c r="G538" s="2">
        <f t="shared" si="48"/>
        <v>2025</v>
      </c>
      <c r="H538" s="2" t="str">
        <f t="shared" si="49"/>
        <v>Jan</v>
      </c>
      <c r="I538" s="2">
        <f t="shared" si="50"/>
        <v>1</v>
      </c>
      <c r="J538" s="2" t="str">
        <f t="shared" si="51"/>
        <v>2025-01</v>
      </c>
      <c r="K538" s="2">
        <f t="shared" si="52"/>
        <v>4</v>
      </c>
      <c r="L538" s="2">
        <f ca="1">AVERAGE(OFFSET(USD_NGN_Historical_Data__17[[#This Row],[Rate]], -6, 0, 7, 1))</f>
        <v>1544.8457142857144</v>
      </c>
      <c r="M538" s="2" t="str">
        <f t="shared" si="53"/>
        <v>Tue</v>
      </c>
    </row>
    <row r="539" spans="1:13" x14ac:dyDescent="0.35">
      <c r="A539" s="4">
        <v>45679</v>
      </c>
      <c r="B539" s="2">
        <v>1547</v>
      </c>
      <c r="C539" s="2">
        <v>1555</v>
      </c>
      <c r="D539" s="2">
        <v>1559.125</v>
      </c>
      <c r="E539" s="2">
        <v>1547</v>
      </c>
      <c r="F539" s="1">
        <v>1.2999999999999999E-3</v>
      </c>
      <c r="G539" s="2">
        <f t="shared" si="48"/>
        <v>2025</v>
      </c>
      <c r="H539" s="2" t="str">
        <f t="shared" si="49"/>
        <v>Jan</v>
      </c>
      <c r="I539" s="2">
        <f t="shared" si="50"/>
        <v>1</v>
      </c>
      <c r="J539" s="2" t="str">
        <f t="shared" si="51"/>
        <v>2025-01</v>
      </c>
      <c r="K539" s="2">
        <f t="shared" si="52"/>
        <v>4</v>
      </c>
      <c r="L539" s="2">
        <f ca="1">AVERAGE(OFFSET(USD_NGN_Historical_Data__17[[#This Row],[Rate]], -6, 0, 7, 1))</f>
        <v>1545.9414285714286</v>
      </c>
      <c r="M539" s="2" t="str">
        <f t="shared" si="53"/>
        <v>Wed</v>
      </c>
    </row>
    <row r="540" spans="1:13" x14ac:dyDescent="0.35">
      <c r="A540" s="4">
        <v>45680</v>
      </c>
      <c r="B540" s="2">
        <v>1547</v>
      </c>
      <c r="C540" s="2">
        <v>1557</v>
      </c>
      <c r="D540" s="2">
        <v>1560.46</v>
      </c>
      <c r="E540" s="2">
        <v>1548.625</v>
      </c>
      <c r="F540" s="1">
        <v>0</v>
      </c>
      <c r="G540" s="2">
        <f t="shared" si="48"/>
        <v>2025</v>
      </c>
      <c r="H540" s="2" t="str">
        <f t="shared" si="49"/>
        <v>Jan</v>
      </c>
      <c r="I540" s="2">
        <f t="shared" si="50"/>
        <v>1</v>
      </c>
      <c r="J540" s="2" t="str">
        <f t="shared" si="51"/>
        <v>2025-01</v>
      </c>
      <c r="K540" s="2">
        <f t="shared" si="52"/>
        <v>4</v>
      </c>
      <c r="L540" s="2">
        <f ca="1">AVERAGE(OFFSET(USD_NGN_Historical_Data__17[[#This Row],[Rate]], -6, 0, 7, 1))</f>
        <v>1546.4314285714286</v>
      </c>
      <c r="M540" s="2" t="str">
        <f t="shared" si="53"/>
        <v>Thu</v>
      </c>
    </row>
    <row r="541" spans="1:13" x14ac:dyDescent="0.35">
      <c r="A541" s="4">
        <v>45681</v>
      </c>
      <c r="B541" s="2">
        <v>1548</v>
      </c>
      <c r="C541" s="2">
        <v>1557</v>
      </c>
      <c r="D541" s="2">
        <v>1559.46</v>
      </c>
      <c r="E541" s="2">
        <v>1505</v>
      </c>
      <c r="F541" s="1">
        <v>5.9999999999999995E-4</v>
      </c>
      <c r="G541" s="2">
        <f t="shared" si="48"/>
        <v>2025</v>
      </c>
      <c r="H541" s="2" t="str">
        <f t="shared" si="49"/>
        <v>Jan</v>
      </c>
      <c r="I541" s="2">
        <f t="shared" si="50"/>
        <v>1</v>
      </c>
      <c r="J541" s="2" t="str">
        <f t="shared" si="51"/>
        <v>2025-01</v>
      </c>
      <c r="K541" s="2">
        <f t="shared" si="52"/>
        <v>4</v>
      </c>
      <c r="L541" s="2">
        <f ca="1">AVERAGE(OFFSET(USD_NGN_Historical_Data__17[[#This Row],[Rate]], -6, 0, 7, 1))</f>
        <v>1546.8600000000001</v>
      </c>
      <c r="M541" s="2" t="str">
        <f t="shared" si="53"/>
        <v>Fri</v>
      </c>
    </row>
    <row r="542" spans="1:13" x14ac:dyDescent="0.35">
      <c r="A542" s="4">
        <v>45684</v>
      </c>
      <c r="B542" s="2">
        <v>1549.48</v>
      </c>
      <c r="C542" s="2">
        <v>1550.48</v>
      </c>
      <c r="D542" s="2">
        <v>1557.5</v>
      </c>
      <c r="E542" s="2">
        <v>1529</v>
      </c>
      <c r="F542" s="1">
        <v>1E-3</v>
      </c>
      <c r="G542" s="2">
        <f t="shared" si="48"/>
        <v>2025</v>
      </c>
      <c r="H542" s="2" t="str">
        <f t="shared" si="49"/>
        <v>Jan</v>
      </c>
      <c r="I542" s="2">
        <f t="shared" si="50"/>
        <v>1</v>
      </c>
      <c r="J542" s="2" t="str">
        <f t="shared" si="51"/>
        <v>2025-01</v>
      </c>
      <c r="K542" s="2">
        <f t="shared" si="52"/>
        <v>5</v>
      </c>
      <c r="L542" s="2">
        <f ca="1">AVERAGE(OFFSET(USD_NGN_Historical_Data__17[[#This Row],[Rate]], -6, 0, 7, 1))</f>
        <v>1546.7571428571428</v>
      </c>
      <c r="M542" s="2" t="str">
        <f t="shared" si="53"/>
        <v>Mon</v>
      </c>
    </row>
    <row r="543" spans="1:13" x14ac:dyDescent="0.35">
      <c r="A543" s="4">
        <v>45685</v>
      </c>
      <c r="B543" s="2">
        <v>1549.48</v>
      </c>
      <c r="C543" s="2">
        <v>1550.48</v>
      </c>
      <c r="D543" s="2">
        <v>1555</v>
      </c>
      <c r="E543" s="2">
        <v>1513.1</v>
      </c>
      <c r="F543" s="1">
        <v>0</v>
      </c>
      <c r="G543" s="2">
        <f t="shared" si="48"/>
        <v>2025</v>
      </c>
      <c r="H543" s="2" t="str">
        <f t="shared" si="49"/>
        <v>Jan</v>
      </c>
      <c r="I543" s="2">
        <f t="shared" si="50"/>
        <v>1</v>
      </c>
      <c r="J543" s="2" t="str">
        <f t="shared" si="51"/>
        <v>2025-01</v>
      </c>
      <c r="K543" s="2">
        <f t="shared" si="52"/>
        <v>5</v>
      </c>
      <c r="L543" s="2">
        <f ca="1">AVERAGE(OFFSET(USD_NGN_Historical_Data__17[[#This Row],[Rate]], -6, 0, 7, 1))</f>
        <v>1547.1528571428571</v>
      </c>
      <c r="M543" s="2" t="str">
        <f t="shared" si="53"/>
        <v>Tue</v>
      </c>
    </row>
    <row r="544" spans="1:13" x14ac:dyDescent="0.35">
      <c r="A544" s="4">
        <v>45686</v>
      </c>
      <c r="B544" s="2">
        <v>1549.48</v>
      </c>
      <c r="C544" s="2">
        <v>1550.48</v>
      </c>
      <c r="D544" s="2">
        <v>1561</v>
      </c>
      <c r="E544" s="2">
        <v>1508</v>
      </c>
      <c r="F544" s="1">
        <v>0</v>
      </c>
      <c r="G544" s="2">
        <f t="shared" si="48"/>
        <v>2025</v>
      </c>
      <c r="H544" s="2" t="str">
        <f t="shared" si="49"/>
        <v>Jan</v>
      </c>
      <c r="I544" s="2">
        <f t="shared" si="50"/>
        <v>1</v>
      </c>
      <c r="J544" s="2" t="str">
        <f t="shared" si="51"/>
        <v>2025-01</v>
      </c>
      <c r="K544" s="2">
        <f t="shared" si="52"/>
        <v>5</v>
      </c>
      <c r="L544" s="2">
        <f ca="1">AVERAGE(OFFSET(USD_NGN_Historical_Data__17[[#This Row],[Rate]], -6, 0, 7, 1))</f>
        <v>1547.9199999999998</v>
      </c>
      <c r="M544" s="2" t="str">
        <f t="shared" si="53"/>
        <v>Wed</v>
      </c>
    </row>
    <row r="545" spans="1:13" x14ac:dyDescent="0.35">
      <c r="A545" s="4">
        <v>45687</v>
      </c>
      <c r="B545" s="2">
        <v>1498</v>
      </c>
      <c r="C545" s="2">
        <v>1550.48</v>
      </c>
      <c r="D545" s="2">
        <v>1553.24</v>
      </c>
      <c r="E545" s="2">
        <v>1491</v>
      </c>
      <c r="F545" s="1">
        <v>-3.32E-2</v>
      </c>
      <c r="G545" s="2">
        <f t="shared" si="48"/>
        <v>2025</v>
      </c>
      <c r="H545" s="2" t="str">
        <f t="shared" si="49"/>
        <v>Jan</v>
      </c>
      <c r="I545" s="2">
        <f t="shared" si="50"/>
        <v>1</v>
      </c>
      <c r="J545" s="2" t="str">
        <f t="shared" si="51"/>
        <v>2025-01</v>
      </c>
      <c r="K545" s="2">
        <f t="shared" si="52"/>
        <v>5</v>
      </c>
      <c r="L545" s="2">
        <f ca="1">AVERAGE(OFFSET(USD_NGN_Historical_Data__17[[#This Row],[Rate]], -6, 0, 7, 1))</f>
        <v>1541.2057142857141</v>
      </c>
      <c r="M545" s="2" t="str">
        <f t="shared" si="53"/>
        <v>Thu</v>
      </c>
    </row>
    <row r="546" spans="1:13" x14ac:dyDescent="0.35">
      <c r="A546" s="4">
        <v>45688</v>
      </c>
      <c r="B546" s="2">
        <v>1480</v>
      </c>
      <c r="C546" s="2">
        <v>1499</v>
      </c>
      <c r="D546" s="2">
        <v>1515</v>
      </c>
      <c r="E546" s="2">
        <v>1442.5</v>
      </c>
      <c r="F546" s="1">
        <v>-1.2E-2</v>
      </c>
      <c r="G546" s="2">
        <f t="shared" si="48"/>
        <v>2025</v>
      </c>
      <c r="H546" s="2" t="str">
        <f t="shared" si="49"/>
        <v>Jan</v>
      </c>
      <c r="I546" s="2">
        <f t="shared" si="50"/>
        <v>1</v>
      </c>
      <c r="J546" s="2" t="str">
        <f t="shared" si="51"/>
        <v>2025-01</v>
      </c>
      <c r="K546" s="2">
        <f t="shared" si="52"/>
        <v>5</v>
      </c>
      <c r="L546" s="2">
        <f ca="1">AVERAGE(OFFSET(USD_NGN_Historical_Data__17[[#This Row],[Rate]], -6, 0, 7, 1))</f>
        <v>1531.6342857142856</v>
      </c>
      <c r="M546" s="2" t="str">
        <f t="shared" si="53"/>
        <v>Fri</v>
      </c>
    </row>
    <row r="547" spans="1:13" x14ac:dyDescent="0.35">
      <c r="A547" s="4">
        <v>45691</v>
      </c>
      <c r="B547" s="2">
        <v>1477.22</v>
      </c>
      <c r="C547" s="2">
        <v>1481</v>
      </c>
      <c r="D547" s="2">
        <v>1550</v>
      </c>
      <c r="E547" s="2">
        <v>1442.5</v>
      </c>
      <c r="F547" s="1">
        <v>-1.9E-3</v>
      </c>
      <c r="G547" s="2">
        <f t="shared" si="48"/>
        <v>2025</v>
      </c>
      <c r="H547" s="2" t="str">
        <f t="shared" si="49"/>
        <v>Feb</v>
      </c>
      <c r="I547" s="2">
        <f t="shared" si="50"/>
        <v>2</v>
      </c>
      <c r="J547" s="2" t="str">
        <f t="shared" si="51"/>
        <v>2025-02</v>
      </c>
      <c r="K547" s="2">
        <f t="shared" si="52"/>
        <v>6</v>
      </c>
      <c r="L547" s="2">
        <f ca="1">AVERAGE(OFFSET(USD_NGN_Historical_Data__17[[#This Row],[Rate]], -6, 0, 7, 1))</f>
        <v>1521.6657142857143</v>
      </c>
      <c r="M547" s="2" t="str">
        <f t="shared" si="53"/>
        <v>Mon</v>
      </c>
    </row>
    <row r="548" spans="1:13" x14ac:dyDescent="0.35">
      <c r="A548" s="4">
        <v>45692</v>
      </c>
      <c r="B548" s="2">
        <v>1487.99</v>
      </c>
      <c r="C548" s="2">
        <v>1483</v>
      </c>
      <c r="D548" s="2">
        <v>1499</v>
      </c>
      <c r="E548" s="2">
        <v>1478.11</v>
      </c>
      <c r="F548" s="1">
        <v>7.3000000000000001E-3</v>
      </c>
      <c r="G548" s="2">
        <f t="shared" si="48"/>
        <v>2025</v>
      </c>
      <c r="H548" s="2" t="str">
        <f t="shared" si="49"/>
        <v>Feb</v>
      </c>
      <c r="I548" s="2">
        <f t="shared" si="50"/>
        <v>2</v>
      </c>
      <c r="J548" s="2" t="str">
        <f t="shared" si="51"/>
        <v>2025-02</v>
      </c>
      <c r="K548" s="2">
        <f t="shared" si="52"/>
        <v>6</v>
      </c>
      <c r="L548" s="2">
        <f ca="1">AVERAGE(OFFSET(USD_NGN_Historical_Data__17[[#This Row],[Rate]], -6, 0, 7, 1))</f>
        <v>1513.0928571428572</v>
      </c>
      <c r="M548" s="2" t="str">
        <f t="shared" si="53"/>
        <v>Tue</v>
      </c>
    </row>
    <row r="549" spans="1:13" x14ac:dyDescent="0.35">
      <c r="A549" s="4">
        <v>45693</v>
      </c>
      <c r="B549" s="2">
        <v>1496.41</v>
      </c>
      <c r="C549" s="2">
        <v>1488.99</v>
      </c>
      <c r="D549" s="2">
        <v>1500.7049999999999</v>
      </c>
      <c r="E549" s="2">
        <v>1488.99</v>
      </c>
      <c r="F549" s="1">
        <v>5.7000000000000002E-3</v>
      </c>
      <c r="G549" s="2">
        <f t="shared" si="48"/>
        <v>2025</v>
      </c>
      <c r="H549" s="2" t="str">
        <f t="shared" si="49"/>
        <v>Feb</v>
      </c>
      <c r="I549" s="2">
        <f t="shared" si="50"/>
        <v>2</v>
      </c>
      <c r="J549" s="2" t="str">
        <f t="shared" si="51"/>
        <v>2025-02</v>
      </c>
      <c r="K549" s="2">
        <f t="shared" si="52"/>
        <v>6</v>
      </c>
      <c r="L549" s="2">
        <f ca="1">AVERAGE(OFFSET(USD_NGN_Historical_Data__17[[#This Row],[Rate]], -6, 0, 7, 1))</f>
        <v>1505.5114285714285</v>
      </c>
      <c r="M549" s="2" t="str">
        <f t="shared" si="53"/>
        <v>Wed</v>
      </c>
    </row>
    <row r="550" spans="1:13" x14ac:dyDescent="0.35">
      <c r="A550" s="4">
        <v>45694</v>
      </c>
      <c r="B550" s="2">
        <v>1496.41</v>
      </c>
      <c r="C550" s="2">
        <v>1497.41</v>
      </c>
      <c r="D550" s="2">
        <v>1507.5</v>
      </c>
      <c r="E550" s="2">
        <v>1494.2049999999999</v>
      </c>
      <c r="F550" s="1">
        <v>0</v>
      </c>
      <c r="G550" s="2">
        <f t="shared" si="48"/>
        <v>2025</v>
      </c>
      <c r="H550" s="2" t="str">
        <f t="shared" si="49"/>
        <v>Feb</v>
      </c>
      <c r="I550" s="2">
        <f t="shared" si="50"/>
        <v>2</v>
      </c>
      <c r="J550" s="2" t="str">
        <f t="shared" si="51"/>
        <v>2025-02</v>
      </c>
      <c r="K550" s="2">
        <f t="shared" si="52"/>
        <v>6</v>
      </c>
      <c r="L550" s="2">
        <f ca="1">AVERAGE(OFFSET(USD_NGN_Historical_Data__17[[#This Row],[Rate]], -6, 0, 7, 1))</f>
        <v>1497.93</v>
      </c>
      <c r="M550" s="2" t="str">
        <f t="shared" si="53"/>
        <v>Thu</v>
      </c>
    </row>
    <row r="551" spans="1:13" x14ac:dyDescent="0.35">
      <c r="A551" s="4">
        <v>45695</v>
      </c>
      <c r="B551" s="2">
        <v>1496.41</v>
      </c>
      <c r="C551" s="2">
        <v>1497.41</v>
      </c>
      <c r="D551" s="2">
        <v>1506.5</v>
      </c>
      <c r="E551" s="2">
        <v>1494.2049999999999</v>
      </c>
      <c r="F551" s="1">
        <v>0</v>
      </c>
      <c r="G551" s="2">
        <f t="shared" si="48"/>
        <v>2025</v>
      </c>
      <c r="H551" s="2" t="str">
        <f t="shared" si="49"/>
        <v>Feb</v>
      </c>
      <c r="I551" s="2">
        <f t="shared" si="50"/>
        <v>2</v>
      </c>
      <c r="J551" s="2" t="str">
        <f t="shared" si="51"/>
        <v>2025-02</v>
      </c>
      <c r="K551" s="2">
        <f t="shared" si="52"/>
        <v>6</v>
      </c>
      <c r="L551" s="2">
        <f ca="1">AVERAGE(OFFSET(USD_NGN_Historical_Data__17[[#This Row],[Rate]], -6, 0, 7, 1))</f>
        <v>1490.3485714285714</v>
      </c>
      <c r="M551" s="2" t="str">
        <f t="shared" si="53"/>
        <v>Fri</v>
      </c>
    </row>
    <row r="552" spans="1:13" x14ac:dyDescent="0.35">
      <c r="A552" s="4">
        <v>45698</v>
      </c>
      <c r="B552" s="2">
        <v>1496.41</v>
      </c>
      <c r="C552" s="2">
        <v>1497.41</v>
      </c>
      <c r="D552" s="2">
        <v>1511</v>
      </c>
      <c r="E552" s="2">
        <v>1494.2049999999999</v>
      </c>
      <c r="F552" s="1">
        <v>0</v>
      </c>
      <c r="G552" s="2">
        <f t="shared" si="48"/>
        <v>2025</v>
      </c>
      <c r="H552" s="2" t="str">
        <f t="shared" si="49"/>
        <v>Feb</v>
      </c>
      <c r="I552" s="2">
        <f t="shared" si="50"/>
        <v>2</v>
      </c>
      <c r="J552" s="2" t="str">
        <f t="shared" si="51"/>
        <v>2025-02</v>
      </c>
      <c r="K552" s="2">
        <f t="shared" si="52"/>
        <v>7</v>
      </c>
      <c r="L552" s="2">
        <f ca="1">AVERAGE(OFFSET(USD_NGN_Historical_Data__17[[#This Row],[Rate]], -6, 0, 7, 1))</f>
        <v>1490.1214285714286</v>
      </c>
      <c r="M552" s="2" t="str">
        <f t="shared" si="53"/>
        <v>Mon</v>
      </c>
    </row>
    <row r="553" spans="1:13" x14ac:dyDescent="0.35">
      <c r="A553" s="4">
        <v>45699</v>
      </c>
      <c r="B553" s="2">
        <v>1498.78</v>
      </c>
      <c r="C553" s="2">
        <v>1497.41</v>
      </c>
      <c r="D553" s="2">
        <v>1505</v>
      </c>
      <c r="E553" s="2">
        <v>1497.41</v>
      </c>
      <c r="F553" s="1">
        <v>1.6000000000000001E-3</v>
      </c>
      <c r="G553" s="2">
        <f t="shared" si="48"/>
        <v>2025</v>
      </c>
      <c r="H553" s="2" t="str">
        <f t="shared" si="49"/>
        <v>Feb</v>
      </c>
      <c r="I553" s="2">
        <f t="shared" si="50"/>
        <v>2</v>
      </c>
      <c r="J553" s="2" t="str">
        <f t="shared" si="51"/>
        <v>2025-02</v>
      </c>
      <c r="K553" s="2">
        <f t="shared" si="52"/>
        <v>7</v>
      </c>
      <c r="L553" s="2">
        <f ca="1">AVERAGE(OFFSET(USD_NGN_Historical_Data__17[[#This Row],[Rate]], -6, 0, 7, 1))</f>
        <v>1492.8042857142859</v>
      </c>
      <c r="M553" s="2" t="str">
        <f t="shared" si="53"/>
        <v>Tue</v>
      </c>
    </row>
    <row r="554" spans="1:13" x14ac:dyDescent="0.35">
      <c r="A554" s="4">
        <v>45700</v>
      </c>
      <c r="B554" s="2">
        <v>1498.78</v>
      </c>
      <c r="C554" s="2">
        <v>1499.78</v>
      </c>
      <c r="D554" s="2">
        <v>1515</v>
      </c>
      <c r="E554" s="2">
        <v>1497.89</v>
      </c>
      <c r="F554" s="1">
        <v>0</v>
      </c>
      <c r="G554" s="2">
        <f t="shared" si="48"/>
        <v>2025</v>
      </c>
      <c r="H554" s="2" t="str">
        <f t="shared" si="49"/>
        <v>Feb</v>
      </c>
      <c r="I554" s="2">
        <f t="shared" si="50"/>
        <v>2</v>
      </c>
      <c r="J554" s="2" t="str">
        <f t="shared" si="51"/>
        <v>2025-02</v>
      </c>
      <c r="K554" s="2">
        <f t="shared" si="52"/>
        <v>7</v>
      </c>
      <c r="L554" s="2">
        <f ca="1">AVERAGE(OFFSET(USD_NGN_Historical_Data__17[[#This Row],[Rate]], -6, 0, 7, 1))</f>
        <v>1495.8842857142859</v>
      </c>
      <c r="M554" s="2" t="str">
        <f t="shared" si="53"/>
        <v>Wed</v>
      </c>
    </row>
    <row r="555" spans="1:13" x14ac:dyDescent="0.35">
      <c r="A555" s="4">
        <v>45701</v>
      </c>
      <c r="B555" s="2">
        <v>1500</v>
      </c>
      <c r="C555" s="2">
        <v>1499.78</v>
      </c>
      <c r="D555" s="2">
        <v>1540</v>
      </c>
      <c r="E555" s="2">
        <v>1490</v>
      </c>
      <c r="F555" s="1">
        <v>8.0000000000000004E-4</v>
      </c>
      <c r="G555" s="2">
        <f t="shared" si="48"/>
        <v>2025</v>
      </c>
      <c r="H555" s="2" t="str">
        <f t="shared" si="49"/>
        <v>Feb</v>
      </c>
      <c r="I555" s="2">
        <f t="shared" si="50"/>
        <v>2</v>
      </c>
      <c r="J555" s="2" t="str">
        <f t="shared" si="51"/>
        <v>2025-02</v>
      </c>
      <c r="K555" s="2">
        <f t="shared" si="52"/>
        <v>7</v>
      </c>
      <c r="L555" s="2">
        <f ca="1">AVERAGE(OFFSET(USD_NGN_Historical_Data__17[[#This Row],[Rate]], -6, 0, 7, 1))</f>
        <v>1497.6000000000001</v>
      </c>
      <c r="M555" s="2" t="str">
        <f t="shared" si="53"/>
        <v>Thu</v>
      </c>
    </row>
    <row r="556" spans="1:13" x14ac:dyDescent="0.35">
      <c r="A556" s="4">
        <v>45702</v>
      </c>
      <c r="B556" s="2">
        <v>1509</v>
      </c>
      <c r="C556" s="2">
        <v>1504.3</v>
      </c>
      <c r="D556" s="2">
        <v>1515</v>
      </c>
      <c r="E556" s="2">
        <v>1502.65</v>
      </c>
      <c r="F556" s="1">
        <v>6.0000000000000001E-3</v>
      </c>
      <c r="G556" s="2">
        <f t="shared" si="48"/>
        <v>2025</v>
      </c>
      <c r="H556" s="2" t="str">
        <f t="shared" si="49"/>
        <v>Feb</v>
      </c>
      <c r="I556" s="2">
        <f t="shared" si="50"/>
        <v>2</v>
      </c>
      <c r="J556" s="2" t="str">
        <f t="shared" si="51"/>
        <v>2025-02</v>
      </c>
      <c r="K556" s="2">
        <f t="shared" si="52"/>
        <v>7</v>
      </c>
      <c r="L556" s="2">
        <f ca="1">AVERAGE(OFFSET(USD_NGN_Historical_Data__17[[#This Row],[Rate]], -6, 0, 7, 1))</f>
        <v>1499.3985714285716</v>
      </c>
      <c r="M556" s="2" t="str">
        <f t="shared" si="53"/>
        <v>Fri</v>
      </c>
    </row>
    <row r="557" spans="1:13" x14ac:dyDescent="0.35">
      <c r="A557" s="4">
        <v>45705</v>
      </c>
      <c r="B557" s="2">
        <v>1510</v>
      </c>
      <c r="C557" s="2">
        <v>1510</v>
      </c>
      <c r="D557" s="2">
        <v>1515</v>
      </c>
      <c r="E557" s="2">
        <v>1505</v>
      </c>
      <c r="F557" s="1">
        <v>6.9999999999999999E-4</v>
      </c>
      <c r="G557" s="2">
        <f t="shared" si="48"/>
        <v>2025</v>
      </c>
      <c r="H557" s="2" t="str">
        <f t="shared" si="49"/>
        <v>Feb</v>
      </c>
      <c r="I557" s="2">
        <f t="shared" si="50"/>
        <v>2</v>
      </c>
      <c r="J557" s="2" t="str">
        <f t="shared" si="51"/>
        <v>2025-02</v>
      </c>
      <c r="K557" s="2">
        <f t="shared" si="52"/>
        <v>8</v>
      </c>
      <c r="L557" s="2">
        <f ca="1">AVERAGE(OFFSET(USD_NGN_Historical_Data__17[[#This Row],[Rate]], -6, 0, 7, 1))</f>
        <v>1501.3400000000001</v>
      </c>
      <c r="M557" s="2" t="str">
        <f t="shared" si="53"/>
        <v>Mon</v>
      </c>
    </row>
    <row r="558" spans="1:13" x14ac:dyDescent="0.35">
      <c r="A558" s="4">
        <v>45706</v>
      </c>
      <c r="B558" s="2">
        <v>1504</v>
      </c>
      <c r="C558" s="2">
        <v>1511</v>
      </c>
      <c r="D558" s="2">
        <v>1512.5</v>
      </c>
      <c r="E558" s="2">
        <v>1503</v>
      </c>
      <c r="F558" s="1">
        <v>-4.0000000000000001E-3</v>
      </c>
      <c r="G558" s="2">
        <f t="shared" si="48"/>
        <v>2025</v>
      </c>
      <c r="H558" s="2" t="str">
        <f t="shared" si="49"/>
        <v>Feb</v>
      </c>
      <c r="I558" s="2">
        <f t="shared" si="50"/>
        <v>2</v>
      </c>
      <c r="J558" s="2" t="str">
        <f t="shared" si="51"/>
        <v>2025-02</v>
      </c>
      <c r="K558" s="2">
        <f t="shared" si="52"/>
        <v>8</v>
      </c>
      <c r="L558" s="2">
        <f ca="1">AVERAGE(OFFSET(USD_NGN_Historical_Data__17[[#This Row],[Rate]], -6, 0, 7, 1))</f>
        <v>1502.4242857142858</v>
      </c>
      <c r="M558" s="2" t="str">
        <f t="shared" si="53"/>
        <v>Tue</v>
      </c>
    </row>
    <row r="559" spans="1:13" x14ac:dyDescent="0.35">
      <c r="A559" s="4">
        <v>45707</v>
      </c>
      <c r="B559" s="2">
        <v>1503</v>
      </c>
      <c r="C559" s="2">
        <v>1505</v>
      </c>
      <c r="D559" s="2">
        <v>1512.5</v>
      </c>
      <c r="E559" s="2">
        <v>1503.5</v>
      </c>
      <c r="F559" s="1">
        <v>-6.9999999999999999E-4</v>
      </c>
      <c r="G559" s="2">
        <f t="shared" si="48"/>
        <v>2025</v>
      </c>
      <c r="H559" s="2" t="str">
        <f t="shared" si="49"/>
        <v>Feb</v>
      </c>
      <c r="I559" s="2">
        <f t="shared" si="50"/>
        <v>2</v>
      </c>
      <c r="J559" s="2" t="str">
        <f t="shared" si="51"/>
        <v>2025-02</v>
      </c>
      <c r="K559" s="2">
        <f t="shared" si="52"/>
        <v>8</v>
      </c>
      <c r="L559" s="2">
        <f ca="1">AVERAGE(OFFSET(USD_NGN_Historical_Data__17[[#This Row],[Rate]], -6, 0, 7, 1))</f>
        <v>1503.3657142857141</v>
      </c>
      <c r="M559" s="2" t="str">
        <f t="shared" si="53"/>
        <v>Wed</v>
      </c>
    </row>
    <row r="560" spans="1:13" x14ac:dyDescent="0.35">
      <c r="A560" s="4">
        <v>45708</v>
      </c>
      <c r="B560" s="2">
        <v>1508.04</v>
      </c>
      <c r="C560" s="2">
        <v>1504</v>
      </c>
      <c r="D560" s="2">
        <v>1513.02</v>
      </c>
      <c r="E560" s="2">
        <v>1480</v>
      </c>
      <c r="F560" s="1">
        <v>3.3999999999999998E-3</v>
      </c>
      <c r="G560" s="2">
        <f t="shared" si="48"/>
        <v>2025</v>
      </c>
      <c r="H560" s="2" t="str">
        <f t="shared" si="49"/>
        <v>Feb</v>
      </c>
      <c r="I560" s="2">
        <f t="shared" si="50"/>
        <v>2</v>
      </c>
      <c r="J560" s="2" t="str">
        <f t="shared" si="51"/>
        <v>2025-02</v>
      </c>
      <c r="K560" s="2">
        <f t="shared" si="52"/>
        <v>8</v>
      </c>
      <c r="L560" s="2">
        <f ca="1">AVERAGE(OFFSET(USD_NGN_Historical_Data__17[[#This Row],[Rate]], -6, 0, 7, 1))</f>
        <v>1504.6885714285713</v>
      </c>
      <c r="M560" s="2" t="str">
        <f t="shared" si="53"/>
        <v>Thu</v>
      </c>
    </row>
    <row r="561" spans="1:13" x14ac:dyDescent="0.35">
      <c r="A561" s="4">
        <v>45709</v>
      </c>
      <c r="B561" s="2">
        <v>1499.52</v>
      </c>
      <c r="C561" s="2">
        <v>1509.04</v>
      </c>
      <c r="D561" s="2">
        <v>1511.52</v>
      </c>
      <c r="E561" s="2">
        <v>1491.5</v>
      </c>
      <c r="F561" s="1">
        <v>-5.5999999999999999E-3</v>
      </c>
      <c r="G561" s="2">
        <f t="shared" si="48"/>
        <v>2025</v>
      </c>
      <c r="H561" s="2" t="str">
        <f t="shared" si="49"/>
        <v>Feb</v>
      </c>
      <c r="I561" s="2">
        <f t="shared" si="50"/>
        <v>2</v>
      </c>
      <c r="J561" s="2" t="str">
        <f t="shared" si="51"/>
        <v>2025-02</v>
      </c>
      <c r="K561" s="2">
        <f t="shared" si="52"/>
        <v>8</v>
      </c>
      <c r="L561" s="2">
        <f ca="1">AVERAGE(OFFSET(USD_NGN_Historical_Data__17[[#This Row],[Rate]], -6, 0, 7, 1))</f>
        <v>1504.7942857142859</v>
      </c>
      <c r="M561" s="2" t="str">
        <f t="shared" si="53"/>
        <v>Fri</v>
      </c>
    </row>
    <row r="562" spans="1:13" x14ac:dyDescent="0.35">
      <c r="A562" s="4">
        <v>45712</v>
      </c>
      <c r="B562" s="2">
        <v>1499.73</v>
      </c>
      <c r="C562" s="2">
        <v>1500.52</v>
      </c>
      <c r="D562" s="2">
        <v>1511</v>
      </c>
      <c r="E562" s="2">
        <v>1494</v>
      </c>
      <c r="F562" s="1">
        <v>1E-4</v>
      </c>
      <c r="G562" s="2">
        <f t="shared" si="48"/>
        <v>2025</v>
      </c>
      <c r="H562" s="2" t="str">
        <f t="shared" si="49"/>
        <v>Feb</v>
      </c>
      <c r="I562" s="2">
        <f t="shared" si="50"/>
        <v>2</v>
      </c>
      <c r="J562" s="2" t="str">
        <f t="shared" si="51"/>
        <v>2025-02</v>
      </c>
      <c r="K562" s="2">
        <f t="shared" si="52"/>
        <v>9</v>
      </c>
      <c r="L562" s="2">
        <f ca="1">AVERAGE(OFFSET(USD_NGN_Historical_Data__17[[#This Row],[Rate]], -6, 0, 7, 1))</f>
        <v>1504.7557142857142</v>
      </c>
      <c r="M562" s="2" t="str">
        <f t="shared" si="53"/>
        <v>Mon</v>
      </c>
    </row>
    <row r="563" spans="1:13" x14ac:dyDescent="0.35">
      <c r="A563" s="4">
        <v>45713</v>
      </c>
      <c r="B563" s="2">
        <v>1496.11</v>
      </c>
      <c r="C563" s="2">
        <v>1500.73</v>
      </c>
      <c r="D563" s="2">
        <v>1507.365</v>
      </c>
      <c r="E563" s="2">
        <v>1494.0550000000001</v>
      </c>
      <c r="F563" s="1">
        <v>-2.3999999999999998E-3</v>
      </c>
      <c r="G563" s="2">
        <f t="shared" si="48"/>
        <v>2025</v>
      </c>
      <c r="H563" s="2" t="str">
        <f t="shared" si="49"/>
        <v>Feb</v>
      </c>
      <c r="I563" s="2">
        <f t="shared" si="50"/>
        <v>2</v>
      </c>
      <c r="J563" s="2" t="str">
        <f t="shared" si="51"/>
        <v>2025-02</v>
      </c>
      <c r="K563" s="2">
        <f t="shared" si="52"/>
        <v>9</v>
      </c>
      <c r="L563" s="2">
        <f ca="1">AVERAGE(OFFSET(USD_NGN_Historical_Data__17[[#This Row],[Rate]], -6, 0, 7, 1))</f>
        <v>1502.9142857142856</v>
      </c>
      <c r="M563" s="2" t="str">
        <f t="shared" si="53"/>
        <v>Tue</v>
      </c>
    </row>
    <row r="564" spans="1:13" x14ac:dyDescent="0.35">
      <c r="A564" s="4">
        <v>45714</v>
      </c>
      <c r="B564" s="2">
        <v>1494.91</v>
      </c>
      <c r="C564" s="2">
        <v>1497.11</v>
      </c>
      <c r="D564" s="2">
        <v>1500</v>
      </c>
      <c r="E564" s="2">
        <v>1495.91</v>
      </c>
      <c r="F564" s="1">
        <v>-8.0000000000000004E-4</v>
      </c>
      <c r="G564" s="2">
        <f t="shared" si="48"/>
        <v>2025</v>
      </c>
      <c r="H564" s="2" t="str">
        <f t="shared" si="49"/>
        <v>Feb</v>
      </c>
      <c r="I564" s="2">
        <f t="shared" si="50"/>
        <v>2</v>
      </c>
      <c r="J564" s="2" t="str">
        <f t="shared" si="51"/>
        <v>2025-02</v>
      </c>
      <c r="K564" s="2">
        <f t="shared" si="52"/>
        <v>9</v>
      </c>
      <c r="L564" s="2">
        <f ca="1">AVERAGE(OFFSET(USD_NGN_Historical_Data__17[[#This Row],[Rate]], -6, 0, 7, 1))</f>
        <v>1500.7585714285713</v>
      </c>
      <c r="M564" s="2" t="str">
        <f t="shared" si="53"/>
        <v>Wed</v>
      </c>
    </row>
    <row r="565" spans="1:13" x14ac:dyDescent="0.35">
      <c r="A565" s="4">
        <v>45715</v>
      </c>
      <c r="B565" s="2">
        <v>1498</v>
      </c>
      <c r="C565" s="2">
        <v>1495.91</v>
      </c>
      <c r="D565" s="2">
        <v>1499.5550000000001</v>
      </c>
      <c r="E565" s="2">
        <v>1495.91</v>
      </c>
      <c r="F565" s="1">
        <v>2.0999999999999999E-3</v>
      </c>
      <c r="G565" s="2">
        <f t="shared" si="48"/>
        <v>2025</v>
      </c>
      <c r="H565" s="2" t="str">
        <f t="shared" si="49"/>
        <v>Feb</v>
      </c>
      <c r="I565" s="2">
        <f t="shared" si="50"/>
        <v>2</v>
      </c>
      <c r="J565" s="2" t="str">
        <f t="shared" si="51"/>
        <v>2025-02</v>
      </c>
      <c r="K565" s="2">
        <f t="shared" si="52"/>
        <v>9</v>
      </c>
      <c r="L565" s="2">
        <f ca="1">AVERAGE(OFFSET(USD_NGN_Historical_Data__17[[#This Row],[Rate]], -6, 0, 7, 1))</f>
        <v>1499.9014285714286</v>
      </c>
      <c r="M565" s="2" t="str">
        <f t="shared" si="53"/>
        <v>Thu</v>
      </c>
    </row>
    <row r="566" spans="1:13" x14ac:dyDescent="0.35">
      <c r="A566" s="4">
        <v>45716</v>
      </c>
      <c r="B566" s="2">
        <v>1498</v>
      </c>
      <c r="C566" s="2">
        <v>1499.11</v>
      </c>
      <c r="D566" s="2">
        <v>1503.5</v>
      </c>
      <c r="E566" s="2">
        <v>1497.5350000000001</v>
      </c>
      <c r="F566" s="1">
        <v>0</v>
      </c>
      <c r="G566" s="2">
        <f t="shared" si="48"/>
        <v>2025</v>
      </c>
      <c r="H566" s="2" t="str">
        <f t="shared" si="49"/>
        <v>Feb</v>
      </c>
      <c r="I566" s="2">
        <f t="shared" si="50"/>
        <v>2</v>
      </c>
      <c r="J566" s="2" t="str">
        <f t="shared" si="51"/>
        <v>2025-02</v>
      </c>
      <c r="K566" s="2">
        <f t="shared" si="52"/>
        <v>9</v>
      </c>
      <c r="L566" s="2">
        <f ca="1">AVERAGE(OFFSET(USD_NGN_Historical_Data__17[[#This Row],[Rate]], -6, 0, 7, 1))</f>
        <v>1499.1871428571428</v>
      </c>
      <c r="M566" s="2" t="str">
        <f t="shared" si="53"/>
        <v>Fri</v>
      </c>
    </row>
    <row r="567" spans="1:13" x14ac:dyDescent="0.35">
      <c r="A567" s="4">
        <v>45719</v>
      </c>
      <c r="B567" s="2">
        <v>1498</v>
      </c>
      <c r="C567" s="2">
        <v>1499.07</v>
      </c>
      <c r="D567" s="2">
        <v>1503.0350000000001</v>
      </c>
      <c r="E567" s="2">
        <v>1498.5350000000001</v>
      </c>
      <c r="F567" s="1">
        <v>0</v>
      </c>
      <c r="G567" s="2">
        <f t="shared" si="48"/>
        <v>2025</v>
      </c>
      <c r="H567" s="2" t="str">
        <f t="shared" si="49"/>
        <v>Mar</v>
      </c>
      <c r="I567" s="2">
        <f t="shared" si="50"/>
        <v>3</v>
      </c>
      <c r="J567" s="2" t="str">
        <f t="shared" si="51"/>
        <v>2025-03</v>
      </c>
      <c r="K567" s="2">
        <f t="shared" si="52"/>
        <v>10</v>
      </c>
      <c r="L567" s="2">
        <f ca="1">AVERAGE(OFFSET(USD_NGN_Historical_Data__17[[#This Row],[Rate]], -6, 0, 7, 1))</f>
        <v>1497.7528571428572</v>
      </c>
      <c r="M567" s="2" t="str">
        <f t="shared" si="53"/>
        <v>Mon</v>
      </c>
    </row>
    <row r="568" spans="1:13" x14ac:dyDescent="0.35">
      <c r="A568" s="4">
        <v>45720</v>
      </c>
      <c r="B568" s="2">
        <v>1497</v>
      </c>
      <c r="C568" s="2">
        <v>1499.07</v>
      </c>
      <c r="D568" s="2">
        <v>1507.5</v>
      </c>
      <c r="E568" s="2">
        <v>1494.5</v>
      </c>
      <c r="F568" s="1">
        <v>-6.9999999999999999E-4</v>
      </c>
      <c r="G568" s="2">
        <f t="shared" si="48"/>
        <v>2025</v>
      </c>
      <c r="H568" s="2" t="str">
        <f t="shared" si="49"/>
        <v>Mar</v>
      </c>
      <c r="I568" s="2">
        <f t="shared" si="50"/>
        <v>3</v>
      </c>
      <c r="J568" s="2" t="str">
        <f t="shared" si="51"/>
        <v>2025-03</v>
      </c>
      <c r="K568" s="2">
        <f t="shared" si="52"/>
        <v>10</v>
      </c>
      <c r="L568" s="2">
        <f ca="1">AVERAGE(OFFSET(USD_NGN_Historical_Data__17[[#This Row],[Rate]], -6, 0, 7, 1))</f>
        <v>1497.3928571428571</v>
      </c>
      <c r="M568" s="2" t="str">
        <f t="shared" si="53"/>
        <v>Tue</v>
      </c>
    </row>
    <row r="569" spans="1:13" x14ac:dyDescent="0.35">
      <c r="A569" s="4">
        <v>45721</v>
      </c>
      <c r="B569" s="2">
        <v>1490.67</v>
      </c>
      <c r="C569" s="2">
        <v>1498</v>
      </c>
      <c r="D569" s="2">
        <v>1503.5</v>
      </c>
      <c r="E569" s="2">
        <v>1491.67</v>
      </c>
      <c r="F569" s="1">
        <v>-4.1999999999999997E-3</v>
      </c>
      <c r="G569" s="2">
        <f t="shared" si="48"/>
        <v>2025</v>
      </c>
      <c r="H569" s="2" t="str">
        <f t="shared" si="49"/>
        <v>Mar</v>
      </c>
      <c r="I569" s="2">
        <f t="shared" si="50"/>
        <v>3</v>
      </c>
      <c r="J569" s="2" t="str">
        <f t="shared" si="51"/>
        <v>2025-03</v>
      </c>
      <c r="K569" s="2">
        <f t="shared" si="52"/>
        <v>10</v>
      </c>
      <c r="L569" s="2">
        <f ca="1">AVERAGE(OFFSET(USD_NGN_Historical_Data__17[[#This Row],[Rate]], -6, 0, 7, 1))</f>
        <v>1496.0985714285714</v>
      </c>
      <c r="M569" s="2" t="str">
        <f t="shared" si="53"/>
        <v>Wed</v>
      </c>
    </row>
    <row r="570" spans="1:13" x14ac:dyDescent="0.35">
      <c r="A570" s="4">
        <v>45722</v>
      </c>
      <c r="B570" s="2">
        <v>1499.8</v>
      </c>
      <c r="C570" s="2">
        <v>1491.67</v>
      </c>
      <c r="D570" s="2">
        <v>1514</v>
      </c>
      <c r="E570" s="2">
        <v>1491.67</v>
      </c>
      <c r="F570" s="1">
        <v>6.1000000000000004E-3</v>
      </c>
      <c r="G570" s="2">
        <f t="shared" si="48"/>
        <v>2025</v>
      </c>
      <c r="H570" s="2" t="str">
        <f t="shared" si="49"/>
        <v>Mar</v>
      </c>
      <c r="I570" s="2">
        <f t="shared" si="50"/>
        <v>3</v>
      </c>
      <c r="J570" s="2" t="str">
        <f t="shared" si="51"/>
        <v>2025-03</v>
      </c>
      <c r="K570" s="2">
        <f t="shared" si="52"/>
        <v>10</v>
      </c>
      <c r="L570" s="2">
        <f ca="1">AVERAGE(OFFSET(USD_NGN_Historical_Data__17[[#This Row],[Rate]], -6, 0, 7, 1))</f>
        <v>1496.6257142857141</v>
      </c>
      <c r="M570" s="2" t="str">
        <f t="shared" si="53"/>
        <v>Thu</v>
      </c>
    </row>
    <row r="571" spans="1:13" x14ac:dyDescent="0.35">
      <c r="A571" s="4">
        <v>45723</v>
      </c>
      <c r="B571" s="2">
        <v>1510</v>
      </c>
      <c r="C571" s="2">
        <v>1500.8</v>
      </c>
      <c r="D571" s="2">
        <v>1522.5</v>
      </c>
      <c r="E571" s="2">
        <v>1499.9</v>
      </c>
      <c r="F571" s="1">
        <v>6.7999999999999996E-3</v>
      </c>
      <c r="G571" s="2">
        <f t="shared" si="48"/>
        <v>2025</v>
      </c>
      <c r="H571" s="2" t="str">
        <f t="shared" si="49"/>
        <v>Mar</v>
      </c>
      <c r="I571" s="2">
        <f t="shared" si="50"/>
        <v>3</v>
      </c>
      <c r="J571" s="2" t="str">
        <f t="shared" si="51"/>
        <v>2025-03</v>
      </c>
      <c r="K571" s="2">
        <f t="shared" si="52"/>
        <v>10</v>
      </c>
      <c r="L571" s="2">
        <f ca="1">AVERAGE(OFFSET(USD_NGN_Historical_Data__17[[#This Row],[Rate]], -6, 0, 7, 1))</f>
        <v>1498.7814285714285</v>
      </c>
      <c r="M571" s="2" t="str">
        <f t="shared" si="53"/>
        <v>Fri</v>
      </c>
    </row>
    <row r="572" spans="1:13" x14ac:dyDescent="0.35">
      <c r="A572" s="4">
        <v>45726</v>
      </c>
      <c r="B572" s="2">
        <v>1534</v>
      </c>
      <c r="C572" s="2">
        <v>1512.3</v>
      </c>
      <c r="D572" s="2">
        <v>1540</v>
      </c>
      <c r="E572" s="2">
        <v>1509.15</v>
      </c>
      <c r="F572" s="1">
        <v>1.5900000000000001E-2</v>
      </c>
      <c r="G572" s="2">
        <f t="shared" si="48"/>
        <v>2025</v>
      </c>
      <c r="H572" s="2" t="str">
        <f t="shared" si="49"/>
        <v>Mar</v>
      </c>
      <c r="I572" s="2">
        <f t="shared" si="50"/>
        <v>3</v>
      </c>
      <c r="J572" s="2" t="str">
        <f t="shared" si="51"/>
        <v>2025-03</v>
      </c>
      <c r="K572" s="2">
        <f t="shared" si="52"/>
        <v>11</v>
      </c>
      <c r="L572" s="2">
        <f ca="1">AVERAGE(OFFSET(USD_NGN_Historical_Data__17[[#This Row],[Rate]], -6, 0, 7, 1))</f>
        <v>1503.9242857142858</v>
      </c>
      <c r="M572" s="2" t="str">
        <f t="shared" si="53"/>
        <v>Mon</v>
      </c>
    </row>
    <row r="573" spans="1:13" x14ac:dyDescent="0.35">
      <c r="A573" s="4">
        <v>45727</v>
      </c>
      <c r="B573" s="2">
        <v>1528</v>
      </c>
      <c r="C573" s="2">
        <v>1535</v>
      </c>
      <c r="D573" s="2">
        <v>1538</v>
      </c>
      <c r="E573" s="2">
        <v>1515</v>
      </c>
      <c r="F573" s="1">
        <v>-3.8999999999999998E-3</v>
      </c>
      <c r="G573" s="2">
        <f t="shared" si="48"/>
        <v>2025</v>
      </c>
      <c r="H573" s="2" t="str">
        <f t="shared" si="49"/>
        <v>Mar</v>
      </c>
      <c r="I573" s="2">
        <f t="shared" si="50"/>
        <v>3</v>
      </c>
      <c r="J573" s="2" t="str">
        <f t="shared" si="51"/>
        <v>2025-03</v>
      </c>
      <c r="K573" s="2">
        <f t="shared" si="52"/>
        <v>11</v>
      </c>
      <c r="L573" s="2">
        <f ca="1">AVERAGE(OFFSET(USD_NGN_Historical_Data__17[[#This Row],[Rate]], -6, 0, 7, 1))</f>
        <v>1508.2100000000003</v>
      </c>
      <c r="M573" s="2" t="str">
        <f t="shared" si="53"/>
        <v>Tue</v>
      </c>
    </row>
    <row r="574" spans="1:13" x14ac:dyDescent="0.35">
      <c r="A574" s="4">
        <v>45728</v>
      </c>
      <c r="B574" s="2">
        <v>1531</v>
      </c>
      <c r="C574" s="2">
        <v>1529</v>
      </c>
      <c r="D574" s="2">
        <v>1552.5</v>
      </c>
      <c r="E574" s="2">
        <v>1529</v>
      </c>
      <c r="F574" s="1">
        <v>2E-3</v>
      </c>
      <c r="G574" s="2">
        <f t="shared" si="48"/>
        <v>2025</v>
      </c>
      <c r="H574" s="2" t="str">
        <f t="shared" si="49"/>
        <v>Mar</v>
      </c>
      <c r="I574" s="2">
        <f t="shared" si="50"/>
        <v>3</v>
      </c>
      <c r="J574" s="2" t="str">
        <f t="shared" si="51"/>
        <v>2025-03</v>
      </c>
      <c r="K574" s="2">
        <f t="shared" si="52"/>
        <v>11</v>
      </c>
      <c r="L574" s="2">
        <f ca="1">AVERAGE(OFFSET(USD_NGN_Historical_Data__17[[#This Row],[Rate]], -6, 0, 7, 1))</f>
        <v>1512.9242857142858</v>
      </c>
      <c r="M574" s="2" t="str">
        <f t="shared" si="53"/>
        <v>Wed</v>
      </c>
    </row>
    <row r="575" spans="1:13" x14ac:dyDescent="0.35">
      <c r="A575" s="4">
        <v>45729</v>
      </c>
      <c r="B575" s="2">
        <v>1550</v>
      </c>
      <c r="C575" s="2">
        <v>1532</v>
      </c>
      <c r="D575" s="2">
        <v>1560</v>
      </c>
      <c r="E575" s="2">
        <v>1507.5</v>
      </c>
      <c r="F575" s="1">
        <v>1.24E-2</v>
      </c>
      <c r="G575" s="2">
        <f t="shared" si="48"/>
        <v>2025</v>
      </c>
      <c r="H575" s="2" t="str">
        <f t="shared" si="49"/>
        <v>Mar</v>
      </c>
      <c r="I575" s="2">
        <f t="shared" si="50"/>
        <v>3</v>
      </c>
      <c r="J575" s="2" t="str">
        <f t="shared" si="51"/>
        <v>2025-03</v>
      </c>
      <c r="K575" s="2">
        <f t="shared" si="52"/>
        <v>11</v>
      </c>
      <c r="L575" s="2">
        <f ca="1">AVERAGE(OFFSET(USD_NGN_Historical_Data__17[[#This Row],[Rate]], -6, 0, 7, 1))</f>
        <v>1520.4957142857145</v>
      </c>
      <c r="M575" s="2" t="str">
        <f t="shared" si="53"/>
        <v>Thu</v>
      </c>
    </row>
    <row r="576" spans="1:13" x14ac:dyDescent="0.35">
      <c r="A576" s="4">
        <v>45730</v>
      </c>
      <c r="B576" s="2">
        <v>1546.82</v>
      </c>
      <c r="C576" s="2">
        <v>1550</v>
      </c>
      <c r="D576" s="2">
        <v>1550</v>
      </c>
      <c r="E576" s="2">
        <v>1507.5</v>
      </c>
      <c r="F576" s="1">
        <v>-2.0999999999999999E-3</v>
      </c>
      <c r="G576" s="2">
        <f t="shared" si="48"/>
        <v>2025</v>
      </c>
      <c r="H576" s="2" t="str">
        <f t="shared" si="49"/>
        <v>Mar</v>
      </c>
      <c r="I576" s="2">
        <f t="shared" si="50"/>
        <v>3</v>
      </c>
      <c r="J576" s="2" t="str">
        <f t="shared" si="51"/>
        <v>2025-03</v>
      </c>
      <c r="K576" s="2">
        <f t="shared" si="52"/>
        <v>11</v>
      </c>
      <c r="L576" s="2">
        <f ca="1">AVERAGE(OFFSET(USD_NGN_Historical_Data__17[[#This Row],[Rate]], -6, 0, 7, 1))</f>
        <v>1528.5171428571427</v>
      </c>
      <c r="M576" s="2" t="str">
        <f t="shared" si="53"/>
        <v>Fri</v>
      </c>
    </row>
    <row r="577" spans="1:13" x14ac:dyDescent="0.35">
      <c r="A577" s="4">
        <v>45733</v>
      </c>
      <c r="B577" s="2">
        <v>1545</v>
      </c>
      <c r="C577" s="2">
        <v>1547.82</v>
      </c>
      <c r="D577" s="2">
        <v>1553.41</v>
      </c>
      <c r="E577" s="2">
        <v>1533</v>
      </c>
      <c r="F577" s="1">
        <v>-1.1999999999999999E-3</v>
      </c>
      <c r="G577" s="2">
        <f t="shared" si="48"/>
        <v>2025</v>
      </c>
      <c r="H577" s="2" t="str">
        <f t="shared" si="49"/>
        <v>Mar</v>
      </c>
      <c r="I577" s="2">
        <f t="shared" si="50"/>
        <v>3</v>
      </c>
      <c r="J577" s="2" t="str">
        <f t="shared" si="51"/>
        <v>2025-03</v>
      </c>
      <c r="K577" s="2">
        <f t="shared" si="52"/>
        <v>12</v>
      </c>
      <c r="L577" s="2">
        <f ca="1">AVERAGE(OFFSET(USD_NGN_Historical_Data__17[[#This Row],[Rate]], -6, 0, 7, 1))</f>
        <v>1534.9742857142858</v>
      </c>
      <c r="M577" s="2" t="str">
        <f t="shared" si="53"/>
        <v>Mon</v>
      </c>
    </row>
    <row r="578" spans="1:13" x14ac:dyDescent="0.35">
      <c r="A578" s="4">
        <v>45734</v>
      </c>
      <c r="B578" s="2">
        <v>1527.03</v>
      </c>
      <c r="C578" s="2">
        <v>1547.82</v>
      </c>
      <c r="D578" s="2">
        <v>1550.91</v>
      </c>
      <c r="E578" s="2">
        <v>1528.03</v>
      </c>
      <c r="F578" s="1">
        <v>-1.1599999999999999E-2</v>
      </c>
      <c r="G578" s="2">
        <f t="shared" ref="G578:G641" si="54">YEAR(A578)</f>
        <v>2025</v>
      </c>
      <c r="H578" s="2" t="str">
        <f t="shared" ref="H578:H641" si="55">TEXT(A578,"mmm")</f>
        <v>Mar</v>
      </c>
      <c r="I578" s="2">
        <f t="shared" ref="I578:I641" si="56">MONTH(A578)</f>
        <v>3</v>
      </c>
      <c r="J578" s="2" t="str">
        <f t="shared" ref="J578:J641" si="57">TEXT(A578,"yyyy-mm")</f>
        <v>2025-03</v>
      </c>
      <c r="K578" s="2">
        <f t="shared" ref="K578:K641" si="58">WEEKNUM(A578)</f>
        <v>12</v>
      </c>
      <c r="L578" s="2">
        <f ca="1">AVERAGE(OFFSET(USD_NGN_Historical_Data__17[[#This Row],[Rate]], -6, 0, 7, 1))</f>
        <v>1537.4071428571428</v>
      </c>
      <c r="M578" s="2" t="str">
        <f t="shared" ref="M578:M641" si="59">TEXT(A578, "ddd")</f>
        <v>Tue</v>
      </c>
    </row>
    <row r="579" spans="1:13" x14ac:dyDescent="0.35">
      <c r="A579" s="4">
        <v>45735</v>
      </c>
      <c r="B579" s="2">
        <v>1519</v>
      </c>
      <c r="C579" s="2">
        <v>1528.03</v>
      </c>
      <c r="D579" s="2">
        <v>1550</v>
      </c>
      <c r="E579" s="2">
        <v>1520</v>
      </c>
      <c r="F579" s="1">
        <v>-5.3E-3</v>
      </c>
      <c r="G579" s="2">
        <f t="shared" si="54"/>
        <v>2025</v>
      </c>
      <c r="H579" s="2" t="str">
        <f t="shared" si="55"/>
        <v>Mar</v>
      </c>
      <c r="I579" s="2">
        <f t="shared" si="56"/>
        <v>3</v>
      </c>
      <c r="J579" s="2" t="str">
        <f t="shared" si="57"/>
        <v>2025-03</v>
      </c>
      <c r="K579" s="2">
        <f t="shared" si="58"/>
        <v>12</v>
      </c>
      <c r="L579" s="2">
        <f ca="1">AVERAGE(OFFSET(USD_NGN_Historical_Data__17[[#This Row],[Rate]], -6, 0, 7, 1))</f>
        <v>1535.2642857142857</v>
      </c>
      <c r="M579" s="2" t="str">
        <f t="shared" si="59"/>
        <v>Wed</v>
      </c>
    </row>
    <row r="580" spans="1:13" x14ac:dyDescent="0.35">
      <c r="A580" s="4">
        <v>45736</v>
      </c>
      <c r="B580" s="2">
        <v>1519</v>
      </c>
      <c r="C580" s="2">
        <v>1520</v>
      </c>
      <c r="D580" s="2">
        <v>1550</v>
      </c>
      <c r="E580" s="2">
        <v>1520</v>
      </c>
      <c r="F580" s="1">
        <v>0</v>
      </c>
      <c r="G580" s="2">
        <f t="shared" si="54"/>
        <v>2025</v>
      </c>
      <c r="H580" s="2" t="str">
        <f t="shared" si="55"/>
        <v>Mar</v>
      </c>
      <c r="I580" s="2">
        <f t="shared" si="56"/>
        <v>3</v>
      </c>
      <c r="J580" s="2" t="str">
        <f t="shared" si="57"/>
        <v>2025-03</v>
      </c>
      <c r="K580" s="2">
        <f t="shared" si="58"/>
        <v>12</v>
      </c>
      <c r="L580" s="2">
        <f ca="1">AVERAGE(OFFSET(USD_NGN_Historical_Data__17[[#This Row],[Rate]], -6, 0, 7, 1))</f>
        <v>1533.9785714285713</v>
      </c>
      <c r="M580" s="2" t="str">
        <f t="shared" si="59"/>
        <v>Thu</v>
      </c>
    </row>
    <row r="581" spans="1:13" x14ac:dyDescent="0.35">
      <c r="A581" s="4">
        <v>45737</v>
      </c>
      <c r="B581" s="2">
        <v>1545</v>
      </c>
      <c r="C581" s="2">
        <v>1520</v>
      </c>
      <c r="D581" s="2">
        <v>1550</v>
      </c>
      <c r="E581" s="2">
        <v>1520</v>
      </c>
      <c r="F581" s="1">
        <v>1.7100000000000001E-2</v>
      </c>
      <c r="G581" s="2">
        <f t="shared" si="54"/>
        <v>2025</v>
      </c>
      <c r="H581" s="2" t="str">
        <f t="shared" si="55"/>
        <v>Mar</v>
      </c>
      <c r="I581" s="2">
        <f t="shared" si="56"/>
        <v>3</v>
      </c>
      <c r="J581" s="2" t="str">
        <f t="shared" si="57"/>
        <v>2025-03</v>
      </c>
      <c r="K581" s="2">
        <f t="shared" si="58"/>
        <v>12</v>
      </c>
      <c r="L581" s="2">
        <f ca="1">AVERAGE(OFFSET(USD_NGN_Historical_Data__17[[#This Row],[Rate]], -6, 0, 7, 1))</f>
        <v>1535.9785714285713</v>
      </c>
      <c r="M581" s="2" t="str">
        <f t="shared" si="59"/>
        <v>Fri</v>
      </c>
    </row>
    <row r="582" spans="1:13" x14ac:dyDescent="0.35">
      <c r="A582" s="4">
        <v>45740</v>
      </c>
      <c r="B582" s="2">
        <v>1519</v>
      </c>
      <c r="C582" s="2">
        <v>1536</v>
      </c>
      <c r="D582" s="2">
        <v>1550</v>
      </c>
      <c r="E582" s="2">
        <v>1520</v>
      </c>
      <c r="F582" s="1">
        <v>-1.6799999999999999E-2</v>
      </c>
      <c r="G582" s="2">
        <f t="shared" si="54"/>
        <v>2025</v>
      </c>
      <c r="H582" s="2" t="str">
        <f t="shared" si="55"/>
        <v>Mar</v>
      </c>
      <c r="I582" s="2">
        <f t="shared" si="56"/>
        <v>3</v>
      </c>
      <c r="J582" s="2" t="str">
        <f t="shared" si="57"/>
        <v>2025-03</v>
      </c>
      <c r="K582" s="2">
        <f t="shared" si="58"/>
        <v>13</v>
      </c>
      <c r="L582" s="2">
        <f ca="1">AVERAGE(OFFSET(USD_NGN_Historical_Data__17[[#This Row],[Rate]], -6, 0, 7, 1))</f>
        <v>1531.5499999999997</v>
      </c>
      <c r="M582" s="2" t="str">
        <f t="shared" si="59"/>
        <v>Mon</v>
      </c>
    </row>
    <row r="583" spans="1:13" x14ac:dyDescent="0.35">
      <c r="A583" s="4">
        <v>45741</v>
      </c>
      <c r="B583" s="2">
        <v>1524</v>
      </c>
      <c r="C583" s="2">
        <v>1520</v>
      </c>
      <c r="D583" s="2">
        <v>1535.34</v>
      </c>
      <c r="E583" s="2">
        <v>1520</v>
      </c>
      <c r="F583" s="1">
        <v>3.3E-3</v>
      </c>
      <c r="G583" s="2">
        <f t="shared" si="54"/>
        <v>2025</v>
      </c>
      <c r="H583" s="2" t="str">
        <f t="shared" si="55"/>
        <v>Mar</v>
      </c>
      <c r="I583" s="2">
        <f t="shared" si="56"/>
        <v>3</v>
      </c>
      <c r="J583" s="2" t="str">
        <f t="shared" si="57"/>
        <v>2025-03</v>
      </c>
      <c r="K583" s="2">
        <f t="shared" si="58"/>
        <v>13</v>
      </c>
      <c r="L583" s="2">
        <f ca="1">AVERAGE(OFFSET(USD_NGN_Historical_Data__17[[#This Row],[Rate]], -6, 0, 7, 1))</f>
        <v>1528.2899999999997</v>
      </c>
      <c r="M583" s="2" t="str">
        <f t="shared" si="59"/>
        <v>Tue</v>
      </c>
    </row>
    <row r="584" spans="1:13" x14ac:dyDescent="0.35">
      <c r="A584" s="4">
        <v>45742</v>
      </c>
      <c r="B584" s="2">
        <v>1532.71</v>
      </c>
      <c r="C584" s="2">
        <v>1530.5</v>
      </c>
      <c r="D584" s="2">
        <v>1538.9849999999999</v>
      </c>
      <c r="E584" s="2">
        <v>1523</v>
      </c>
      <c r="F584" s="1">
        <v>5.7000000000000002E-3</v>
      </c>
      <c r="G584" s="2">
        <f t="shared" si="54"/>
        <v>2025</v>
      </c>
      <c r="H584" s="2" t="str">
        <f t="shared" si="55"/>
        <v>Mar</v>
      </c>
      <c r="I584" s="2">
        <f t="shared" si="56"/>
        <v>3</v>
      </c>
      <c r="J584" s="2" t="str">
        <f t="shared" si="57"/>
        <v>2025-03</v>
      </c>
      <c r="K584" s="2">
        <f t="shared" si="58"/>
        <v>13</v>
      </c>
      <c r="L584" s="2">
        <f ca="1">AVERAGE(OFFSET(USD_NGN_Historical_Data__17[[#This Row],[Rate]], -6, 0, 7, 1))</f>
        <v>1526.5342857142855</v>
      </c>
      <c r="M584" s="2" t="str">
        <f t="shared" si="59"/>
        <v>Wed</v>
      </c>
    </row>
    <row r="585" spans="1:13" x14ac:dyDescent="0.35">
      <c r="A585" s="4">
        <v>45743</v>
      </c>
      <c r="B585" s="2">
        <v>1533.64</v>
      </c>
      <c r="C585" s="2">
        <v>1532.5</v>
      </c>
      <c r="D585" s="2">
        <v>1541.4649999999999</v>
      </c>
      <c r="E585" s="2">
        <v>1529.25</v>
      </c>
      <c r="F585" s="1">
        <v>5.9999999999999995E-4</v>
      </c>
      <c r="G585" s="2">
        <f t="shared" si="54"/>
        <v>2025</v>
      </c>
      <c r="H585" s="2" t="str">
        <f t="shared" si="55"/>
        <v>Mar</v>
      </c>
      <c r="I585" s="2">
        <f t="shared" si="56"/>
        <v>3</v>
      </c>
      <c r="J585" s="2" t="str">
        <f t="shared" si="57"/>
        <v>2025-03</v>
      </c>
      <c r="K585" s="2">
        <f t="shared" si="58"/>
        <v>13</v>
      </c>
      <c r="L585" s="2">
        <f ca="1">AVERAGE(OFFSET(USD_NGN_Historical_Data__17[[#This Row],[Rate]], -6, 0, 7, 1))</f>
        <v>1527.4785714285713</v>
      </c>
      <c r="M585" s="2" t="str">
        <f t="shared" si="59"/>
        <v>Thu</v>
      </c>
    </row>
    <row r="586" spans="1:13" x14ac:dyDescent="0.35">
      <c r="A586" s="4">
        <v>45744</v>
      </c>
      <c r="B586" s="2">
        <v>1534.73</v>
      </c>
      <c r="C586" s="2">
        <v>1537.425</v>
      </c>
      <c r="D586" s="2">
        <v>1541.8</v>
      </c>
      <c r="E586" s="2">
        <v>1530</v>
      </c>
      <c r="F586" s="1">
        <v>6.9999999999999999E-4</v>
      </c>
      <c r="G586" s="2">
        <f t="shared" si="54"/>
        <v>2025</v>
      </c>
      <c r="H586" s="2" t="str">
        <f t="shared" si="55"/>
        <v>Mar</v>
      </c>
      <c r="I586" s="2">
        <f t="shared" si="56"/>
        <v>3</v>
      </c>
      <c r="J586" s="2" t="str">
        <f t="shared" si="57"/>
        <v>2025-03</v>
      </c>
      <c r="K586" s="2">
        <f t="shared" si="58"/>
        <v>13</v>
      </c>
      <c r="L586" s="2">
        <f ca="1">AVERAGE(OFFSET(USD_NGN_Historical_Data__17[[#This Row],[Rate]], -6, 0, 7, 1))</f>
        <v>1529.7257142857143</v>
      </c>
      <c r="M586" s="2" t="str">
        <f t="shared" si="59"/>
        <v>Fri</v>
      </c>
    </row>
    <row r="587" spans="1:13" x14ac:dyDescent="0.35">
      <c r="A587" s="4">
        <v>45747</v>
      </c>
      <c r="B587" s="2">
        <v>1534.83</v>
      </c>
      <c r="C587" s="2">
        <v>1526.5</v>
      </c>
      <c r="D587" s="2">
        <v>1538.855</v>
      </c>
      <c r="E587" s="2">
        <v>1523.5</v>
      </c>
      <c r="F587" s="1">
        <v>1E-4</v>
      </c>
      <c r="G587" s="2">
        <f t="shared" si="54"/>
        <v>2025</v>
      </c>
      <c r="H587" s="2" t="str">
        <f t="shared" si="55"/>
        <v>Mar</v>
      </c>
      <c r="I587" s="2">
        <f t="shared" si="56"/>
        <v>3</v>
      </c>
      <c r="J587" s="2" t="str">
        <f t="shared" si="57"/>
        <v>2025-03</v>
      </c>
      <c r="K587" s="2">
        <f t="shared" si="58"/>
        <v>14</v>
      </c>
      <c r="L587" s="2">
        <f ca="1">AVERAGE(OFFSET(USD_NGN_Historical_Data__17[[#This Row],[Rate]], -6, 0, 7, 1))</f>
        <v>1531.9871428571428</v>
      </c>
      <c r="M587" s="2" t="str">
        <f t="shared" si="59"/>
        <v>Mon</v>
      </c>
    </row>
    <row r="588" spans="1:13" x14ac:dyDescent="0.35">
      <c r="A588" s="4">
        <v>45748</v>
      </c>
      <c r="B588" s="2">
        <v>1535.92</v>
      </c>
      <c r="C588" s="2">
        <v>1537.73</v>
      </c>
      <c r="D588" s="2">
        <v>1541.885</v>
      </c>
      <c r="E588" s="2">
        <v>1529.6849999999999</v>
      </c>
      <c r="F588" s="1">
        <v>6.9999999999999999E-4</v>
      </c>
      <c r="G588" s="2">
        <f t="shared" si="54"/>
        <v>2025</v>
      </c>
      <c r="H588" s="2" t="str">
        <f t="shared" si="55"/>
        <v>Apr</v>
      </c>
      <c r="I588" s="2">
        <f t="shared" si="56"/>
        <v>4</v>
      </c>
      <c r="J588" s="2" t="str">
        <f t="shared" si="57"/>
        <v>2025-04</v>
      </c>
      <c r="K588" s="2">
        <f t="shared" si="58"/>
        <v>14</v>
      </c>
      <c r="L588" s="2">
        <f ca="1">AVERAGE(OFFSET(USD_NGN_Historical_Data__17[[#This Row],[Rate]], -6, 0, 7, 1))</f>
        <v>1530.69</v>
      </c>
      <c r="M588" s="2" t="str">
        <f t="shared" si="59"/>
        <v>Tue</v>
      </c>
    </row>
    <row r="589" spans="1:13" x14ac:dyDescent="0.35">
      <c r="A589" s="4">
        <v>45749</v>
      </c>
      <c r="B589" s="2">
        <v>1533.39</v>
      </c>
      <c r="C589" s="2">
        <v>1541.78</v>
      </c>
      <c r="D589" s="2">
        <v>1541.915</v>
      </c>
      <c r="E589" s="2">
        <v>1526.5</v>
      </c>
      <c r="F589" s="1">
        <v>-1.6000000000000001E-3</v>
      </c>
      <c r="G589" s="2">
        <f t="shared" si="54"/>
        <v>2025</v>
      </c>
      <c r="H589" s="2" t="str">
        <f t="shared" si="55"/>
        <v>Apr</v>
      </c>
      <c r="I589" s="2">
        <f t="shared" si="56"/>
        <v>4</v>
      </c>
      <c r="J589" s="2" t="str">
        <f t="shared" si="57"/>
        <v>2025-04</v>
      </c>
      <c r="K589" s="2">
        <f t="shared" si="58"/>
        <v>14</v>
      </c>
      <c r="L589" s="2">
        <f ca="1">AVERAGE(OFFSET(USD_NGN_Historical_Data__17[[#This Row],[Rate]], -6, 0, 7, 1))</f>
        <v>1532.7457142857143</v>
      </c>
      <c r="M589" s="2" t="str">
        <f t="shared" si="59"/>
        <v>Wed</v>
      </c>
    </row>
    <row r="590" spans="1:13" x14ac:dyDescent="0.35">
      <c r="A590" s="4">
        <v>45750</v>
      </c>
      <c r="B590" s="2">
        <v>1533</v>
      </c>
      <c r="C590" s="2">
        <v>1536.9349999999999</v>
      </c>
      <c r="D590" s="2">
        <v>1543.5</v>
      </c>
      <c r="E590" s="2">
        <v>1529.7750000000001</v>
      </c>
      <c r="F590" s="1">
        <v>-2.9999999999999997E-4</v>
      </c>
      <c r="G590" s="2">
        <f t="shared" si="54"/>
        <v>2025</v>
      </c>
      <c r="H590" s="2" t="str">
        <f t="shared" si="55"/>
        <v>Apr</v>
      </c>
      <c r="I590" s="2">
        <f t="shared" si="56"/>
        <v>4</v>
      </c>
      <c r="J590" s="2" t="str">
        <f t="shared" si="57"/>
        <v>2025-04</v>
      </c>
      <c r="K590" s="2">
        <f t="shared" si="58"/>
        <v>14</v>
      </c>
      <c r="L590" s="2">
        <f ca="1">AVERAGE(OFFSET(USD_NGN_Historical_Data__17[[#This Row],[Rate]], -6, 0, 7, 1))</f>
        <v>1534.0314285714285</v>
      </c>
      <c r="M590" s="2" t="str">
        <f t="shared" si="59"/>
        <v>Thu</v>
      </c>
    </row>
    <row r="591" spans="1:13" x14ac:dyDescent="0.35">
      <c r="A591" s="4">
        <v>45751</v>
      </c>
      <c r="B591" s="2">
        <v>1529.37</v>
      </c>
      <c r="C591" s="2">
        <v>1538.0550000000001</v>
      </c>
      <c r="D591" s="2">
        <v>1589.655</v>
      </c>
      <c r="E591" s="2">
        <v>1530.0250000000001</v>
      </c>
      <c r="F591" s="1">
        <v>-2.3999999999999998E-3</v>
      </c>
      <c r="G591" s="2">
        <f t="shared" si="54"/>
        <v>2025</v>
      </c>
      <c r="H591" s="2" t="str">
        <f t="shared" si="55"/>
        <v>Apr</v>
      </c>
      <c r="I591" s="2">
        <f t="shared" si="56"/>
        <v>4</v>
      </c>
      <c r="J591" s="2" t="str">
        <f t="shared" si="57"/>
        <v>2025-04</v>
      </c>
      <c r="K591" s="2">
        <f t="shared" si="58"/>
        <v>14</v>
      </c>
      <c r="L591" s="2">
        <f ca="1">AVERAGE(OFFSET(USD_NGN_Historical_Data__17[[#This Row],[Rate]], -6, 0, 7, 1))</f>
        <v>1533.5542857142859</v>
      </c>
      <c r="M591" s="2" t="str">
        <f t="shared" si="59"/>
        <v>Fri</v>
      </c>
    </row>
    <row r="592" spans="1:13" x14ac:dyDescent="0.35">
      <c r="A592" s="4">
        <v>45754</v>
      </c>
      <c r="B592" s="2">
        <v>1581.82</v>
      </c>
      <c r="C592" s="2">
        <v>1538</v>
      </c>
      <c r="D592" s="2">
        <v>1643.21</v>
      </c>
      <c r="E592" s="2">
        <v>1530.42</v>
      </c>
      <c r="F592" s="1">
        <v>3.4299999999999997E-2</v>
      </c>
      <c r="G592" s="2">
        <f t="shared" si="54"/>
        <v>2025</v>
      </c>
      <c r="H592" s="2" t="str">
        <f t="shared" si="55"/>
        <v>Apr</v>
      </c>
      <c r="I592" s="2">
        <f t="shared" si="56"/>
        <v>4</v>
      </c>
      <c r="J592" s="2" t="str">
        <f t="shared" si="57"/>
        <v>2025-04</v>
      </c>
      <c r="K592" s="2">
        <f t="shared" si="58"/>
        <v>15</v>
      </c>
      <c r="L592" s="2">
        <f ca="1">AVERAGE(OFFSET(USD_NGN_Historical_Data__17[[#This Row],[Rate]], -6, 0, 7, 1))</f>
        <v>1540.4371428571428</v>
      </c>
      <c r="M592" s="2" t="str">
        <f t="shared" si="59"/>
        <v>Mon</v>
      </c>
    </row>
    <row r="593" spans="1:13" x14ac:dyDescent="0.35">
      <c r="A593" s="4">
        <v>45755</v>
      </c>
      <c r="B593" s="2">
        <v>1547.08</v>
      </c>
      <c r="C593" s="2">
        <v>1582.82</v>
      </c>
      <c r="D593" s="2">
        <v>1623.25</v>
      </c>
      <c r="E593" s="2">
        <v>1547.665</v>
      </c>
      <c r="F593" s="1">
        <v>-2.1999999999999999E-2</v>
      </c>
      <c r="G593" s="2">
        <f t="shared" si="54"/>
        <v>2025</v>
      </c>
      <c r="H593" s="2" t="str">
        <f t="shared" si="55"/>
        <v>Apr</v>
      </c>
      <c r="I593" s="2">
        <f t="shared" si="56"/>
        <v>4</v>
      </c>
      <c r="J593" s="2" t="str">
        <f t="shared" si="57"/>
        <v>2025-04</v>
      </c>
      <c r="K593" s="2">
        <f t="shared" si="58"/>
        <v>15</v>
      </c>
      <c r="L593" s="2">
        <f ca="1">AVERAGE(OFFSET(USD_NGN_Historical_Data__17[[#This Row],[Rate]], -6, 0, 7, 1))</f>
        <v>1542.2014285714286</v>
      </c>
      <c r="M593" s="2" t="str">
        <f t="shared" si="59"/>
        <v>Tue</v>
      </c>
    </row>
    <row r="594" spans="1:13" x14ac:dyDescent="0.35">
      <c r="A594" s="4">
        <v>45756</v>
      </c>
      <c r="B594" s="2">
        <v>1567.63</v>
      </c>
      <c r="C594" s="2">
        <v>1569.12</v>
      </c>
      <c r="D594" s="2">
        <v>1642.355</v>
      </c>
      <c r="E594" s="2">
        <v>1551.5</v>
      </c>
      <c r="F594" s="1">
        <v>1.3299999999999999E-2</v>
      </c>
      <c r="G594" s="2">
        <f t="shared" si="54"/>
        <v>2025</v>
      </c>
      <c r="H594" s="2" t="str">
        <f t="shared" si="55"/>
        <v>Apr</v>
      </c>
      <c r="I594" s="2">
        <f t="shared" si="56"/>
        <v>4</v>
      </c>
      <c r="J594" s="2" t="str">
        <f t="shared" si="57"/>
        <v>2025-04</v>
      </c>
      <c r="K594" s="2">
        <f t="shared" si="58"/>
        <v>15</v>
      </c>
      <c r="L594" s="2">
        <f ca="1">AVERAGE(OFFSET(USD_NGN_Historical_Data__17[[#This Row],[Rate]], -6, 0, 7, 1))</f>
        <v>1546.8871428571426</v>
      </c>
      <c r="M594" s="2" t="str">
        <f t="shared" si="59"/>
        <v>Wed</v>
      </c>
    </row>
    <row r="595" spans="1:13" x14ac:dyDescent="0.35">
      <c r="A595" s="4">
        <v>45757</v>
      </c>
      <c r="B595" s="2">
        <v>1587.12</v>
      </c>
      <c r="C595" s="2">
        <v>1586.1</v>
      </c>
      <c r="D595" s="2">
        <v>1622.03</v>
      </c>
      <c r="E595" s="2">
        <v>1567.375</v>
      </c>
      <c r="F595" s="1">
        <v>1.24E-2</v>
      </c>
      <c r="G595" s="2">
        <f t="shared" si="54"/>
        <v>2025</v>
      </c>
      <c r="H595" s="2" t="str">
        <f t="shared" si="55"/>
        <v>Apr</v>
      </c>
      <c r="I595" s="2">
        <f t="shared" si="56"/>
        <v>4</v>
      </c>
      <c r="J595" s="2" t="str">
        <f t="shared" si="57"/>
        <v>2025-04</v>
      </c>
      <c r="K595" s="2">
        <f t="shared" si="58"/>
        <v>15</v>
      </c>
      <c r="L595" s="2">
        <f ca="1">AVERAGE(OFFSET(USD_NGN_Historical_Data__17[[#This Row],[Rate]], -6, 0, 7, 1))</f>
        <v>1554.2014285714286</v>
      </c>
      <c r="M595" s="2" t="str">
        <f t="shared" si="59"/>
        <v>Thu</v>
      </c>
    </row>
    <row r="596" spans="1:13" x14ac:dyDescent="0.35">
      <c r="A596" s="4">
        <v>45758</v>
      </c>
      <c r="B596" s="2">
        <v>1597.13</v>
      </c>
      <c r="C596" s="2">
        <v>1589.5</v>
      </c>
      <c r="D596" s="2">
        <v>1627.73</v>
      </c>
      <c r="E596" s="2">
        <v>1585.845</v>
      </c>
      <c r="F596" s="1">
        <v>6.3E-3</v>
      </c>
      <c r="G596" s="2">
        <f t="shared" si="54"/>
        <v>2025</v>
      </c>
      <c r="H596" s="2" t="str">
        <f t="shared" si="55"/>
        <v>Apr</v>
      </c>
      <c r="I596" s="2">
        <f t="shared" si="56"/>
        <v>4</v>
      </c>
      <c r="J596" s="2" t="str">
        <f t="shared" si="57"/>
        <v>2025-04</v>
      </c>
      <c r="K596" s="2">
        <f t="shared" si="58"/>
        <v>15</v>
      </c>
      <c r="L596" s="2">
        <f ca="1">AVERAGE(OFFSET(USD_NGN_Historical_Data__17[[#This Row],[Rate]], -6, 0, 7, 1))</f>
        <v>1563.3071428571432</v>
      </c>
      <c r="M596" s="2" t="str">
        <f t="shared" si="59"/>
        <v>Fri</v>
      </c>
    </row>
    <row r="597" spans="1:13" x14ac:dyDescent="0.35">
      <c r="A597" s="4">
        <v>45761</v>
      </c>
      <c r="B597" s="2">
        <v>1598.38</v>
      </c>
      <c r="C597" s="2">
        <v>1594.5</v>
      </c>
      <c r="D597" s="2">
        <v>1625.4</v>
      </c>
      <c r="E597" s="2">
        <v>1576.5</v>
      </c>
      <c r="F597" s="1">
        <v>8.0000000000000004E-4</v>
      </c>
      <c r="G597" s="2">
        <f t="shared" si="54"/>
        <v>2025</v>
      </c>
      <c r="H597" s="2" t="str">
        <f t="shared" si="55"/>
        <v>Apr</v>
      </c>
      <c r="I597" s="2">
        <f t="shared" si="56"/>
        <v>4</v>
      </c>
      <c r="J597" s="2" t="str">
        <f t="shared" si="57"/>
        <v>2025-04</v>
      </c>
      <c r="K597" s="2">
        <f t="shared" si="58"/>
        <v>16</v>
      </c>
      <c r="L597" s="2">
        <f ca="1">AVERAGE(OFFSET(USD_NGN_Historical_Data__17[[#This Row],[Rate]], -6, 0, 7, 1))</f>
        <v>1572.6471428571426</v>
      </c>
      <c r="M597" s="2" t="str">
        <f t="shared" si="59"/>
        <v>Mon</v>
      </c>
    </row>
    <row r="598" spans="1:13" x14ac:dyDescent="0.35">
      <c r="A598" s="4">
        <v>45762</v>
      </c>
      <c r="B598" s="2">
        <v>1602.82</v>
      </c>
      <c r="C598" s="2">
        <v>1610.39</v>
      </c>
      <c r="D598" s="2">
        <v>1610.87</v>
      </c>
      <c r="E598" s="2">
        <v>1596.6849999999999</v>
      </c>
      <c r="F598" s="1">
        <v>2.8E-3</v>
      </c>
      <c r="G598" s="2">
        <f t="shared" si="54"/>
        <v>2025</v>
      </c>
      <c r="H598" s="2" t="str">
        <f t="shared" si="55"/>
        <v>Apr</v>
      </c>
      <c r="I598" s="2">
        <f t="shared" si="56"/>
        <v>4</v>
      </c>
      <c r="J598" s="2" t="str">
        <f t="shared" si="57"/>
        <v>2025-04</v>
      </c>
      <c r="K598" s="2">
        <f t="shared" si="58"/>
        <v>16</v>
      </c>
      <c r="L598" s="2">
        <f ca="1">AVERAGE(OFFSET(USD_NGN_Historical_Data__17[[#This Row],[Rate]], -6, 0, 7, 1))</f>
        <v>1583.1399999999999</v>
      </c>
      <c r="M598" s="2" t="str">
        <f t="shared" si="59"/>
        <v>Tue</v>
      </c>
    </row>
    <row r="599" spans="1:13" x14ac:dyDescent="0.35">
      <c r="A599" s="4">
        <v>45763</v>
      </c>
      <c r="B599" s="2">
        <v>1597.29</v>
      </c>
      <c r="C599" s="2">
        <v>1605.35</v>
      </c>
      <c r="D599" s="2">
        <v>1620.855</v>
      </c>
      <c r="E599" s="2">
        <v>1590.1949999999999</v>
      </c>
      <c r="F599" s="1">
        <v>-3.5000000000000001E-3</v>
      </c>
      <c r="G599" s="2">
        <f t="shared" si="54"/>
        <v>2025</v>
      </c>
      <c r="H599" s="2" t="str">
        <f t="shared" si="55"/>
        <v>Apr</v>
      </c>
      <c r="I599" s="2">
        <f t="shared" si="56"/>
        <v>4</v>
      </c>
      <c r="J599" s="2" t="str">
        <f t="shared" si="57"/>
        <v>2025-04</v>
      </c>
      <c r="K599" s="2">
        <f t="shared" si="58"/>
        <v>16</v>
      </c>
      <c r="L599" s="2">
        <f ca="1">AVERAGE(OFFSET(USD_NGN_Historical_Data__17[[#This Row],[Rate]], -6, 0, 7, 1))</f>
        <v>1585.3500000000001</v>
      </c>
      <c r="M599" s="2" t="str">
        <f t="shared" si="59"/>
        <v>Wed</v>
      </c>
    </row>
    <row r="600" spans="1:13" x14ac:dyDescent="0.35">
      <c r="A600" s="4">
        <v>45764</v>
      </c>
      <c r="B600" s="2">
        <v>1600.77</v>
      </c>
      <c r="C600" s="2">
        <v>1601.37</v>
      </c>
      <c r="D600" s="2">
        <v>1611.88</v>
      </c>
      <c r="E600" s="2">
        <v>1585.07</v>
      </c>
      <c r="F600" s="1">
        <v>2.2000000000000001E-3</v>
      </c>
      <c r="G600" s="2">
        <f t="shared" si="54"/>
        <v>2025</v>
      </c>
      <c r="H600" s="2" t="str">
        <f t="shared" si="55"/>
        <v>Apr</v>
      </c>
      <c r="I600" s="2">
        <f t="shared" si="56"/>
        <v>4</v>
      </c>
      <c r="J600" s="2" t="str">
        <f t="shared" si="57"/>
        <v>2025-04</v>
      </c>
      <c r="K600" s="2">
        <f t="shared" si="58"/>
        <v>16</v>
      </c>
      <c r="L600" s="2">
        <f ca="1">AVERAGE(OFFSET(USD_NGN_Historical_Data__17[[#This Row],[Rate]], -6, 0, 7, 1))</f>
        <v>1593.02</v>
      </c>
      <c r="M600" s="2" t="str">
        <f t="shared" si="59"/>
        <v>Thu</v>
      </c>
    </row>
    <row r="601" spans="1:13" x14ac:dyDescent="0.35">
      <c r="A601" s="4">
        <v>45765</v>
      </c>
      <c r="B601" s="2">
        <v>1600.5</v>
      </c>
      <c r="C601" s="2">
        <v>1599.14</v>
      </c>
      <c r="D601" s="2">
        <v>1612.125</v>
      </c>
      <c r="E601" s="2">
        <v>1599.07</v>
      </c>
      <c r="F601" s="1">
        <v>-2.0000000000000001E-4</v>
      </c>
      <c r="G601" s="2">
        <f t="shared" si="54"/>
        <v>2025</v>
      </c>
      <c r="H601" s="2" t="str">
        <f t="shared" si="55"/>
        <v>Apr</v>
      </c>
      <c r="I601" s="2">
        <f t="shared" si="56"/>
        <v>4</v>
      </c>
      <c r="J601" s="2" t="str">
        <f t="shared" si="57"/>
        <v>2025-04</v>
      </c>
      <c r="K601" s="2">
        <f t="shared" si="58"/>
        <v>16</v>
      </c>
      <c r="L601" s="2">
        <f ca="1">AVERAGE(OFFSET(USD_NGN_Historical_Data__17[[#This Row],[Rate]], -6, 0, 7, 1))</f>
        <v>1597.7157142857143</v>
      </c>
      <c r="M601" s="2" t="str">
        <f t="shared" si="59"/>
        <v>Fri</v>
      </c>
    </row>
    <row r="602" spans="1:13" x14ac:dyDescent="0.35">
      <c r="A602" s="4">
        <v>45768</v>
      </c>
      <c r="B602" s="2">
        <v>1600.71</v>
      </c>
      <c r="C602" s="2">
        <v>1605</v>
      </c>
      <c r="D602" s="2">
        <v>1612.3</v>
      </c>
      <c r="E602" s="2">
        <v>1599.29</v>
      </c>
      <c r="F602" s="1">
        <v>1E-4</v>
      </c>
      <c r="G602" s="2">
        <f t="shared" si="54"/>
        <v>2025</v>
      </c>
      <c r="H602" s="2" t="str">
        <f t="shared" si="55"/>
        <v>Apr</v>
      </c>
      <c r="I602" s="2">
        <f t="shared" si="56"/>
        <v>4</v>
      </c>
      <c r="J602" s="2" t="str">
        <f t="shared" si="57"/>
        <v>2025-04</v>
      </c>
      <c r="K602" s="2">
        <f t="shared" si="58"/>
        <v>17</v>
      </c>
      <c r="L602" s="2">
        <f ca="1">AVERAGE(OFFSET(USD_NGN_Historical_Data__17[[#This Row],[Rate]], -6, 0, 7, 1))</f>
        <v>1599.6571428571426</v>
      </c>
      <c r="M602" s="2" t="str">
        <f t="shared" si="59"/>
        <v>Mon</v>
      </c>
    </row>
    <row r="603" spans="1:13" x14ac:dyDescent="0.35">
      <c r="A603" s="4">
        <v>45769</v>
      </c>
      <c r="B603" s="2">
        <v>1604.135</v>
      </c>
      <c r="C603" s="2">
        <v>1599.58</v>
      </c>
      <c r="D603" s="2">
        <v>1613.625</v>
      </c>
      <c r="E603" s="2">
        <v>1590.29</v>
      </c>
      <c r="F603" s="1">
        <v>2.0999999999999999E-3</v>
      </c>
      <c r="G603" s="2">
        <f t="shared" si="54"/>
        <v>2025</v>
      </c>
      <c r="H603" s="2" t="str">
        <f t="shared" si="55"/>
        <v>Apr</v>
      </c>
      <c r="I603" s="2">
        <f t="shared" si="56"/>
        <v>4</v>
      </c>
      <c r="J603" s="2" t="str">
        <f t="shared" si="57"/>
        <v>2025-04</v>
      </c>
      <c r="K603" s="2">
        <f t="shared" si="58"/>
        <v>17</v>
      </c>
      <c r="L603" s="2">
        <f ca="1">AVERAGE(OFFSET(USD_NGN_Historical_Data__17[[#This Row],[Rate]], -6, 0, 7, 1))</f>
        <v>1600.6578571428574</v>
      </c>
      <c r="M603" s="2" t="str">
        <f t="shared" si="59"/>
        <v>Tue</v>
      </c>
    </row>
    <row r="604" spans="1:13" x14ac:dyDescent="0.35">
      <c r="A604" s="4">
        <v>45770</v>
      </c>
      <c r="B604" s="2">
        <v>1607.3</v>
      </c>
      <c r="C604" s="2">
        <v>1605.08</v>
      </c>
      <c r="D604" s="2">
        <v>1615.43</v>
      </c>
      <c r="E604" s="2">
        <v>1599.73</v>
      </c>
      <c r="F604" s="1">
        <v>2E-3</v>
      </c>
      <c r="G604" s="2">
        <f t="shared" si="54"/>
        <v>2025</v>
      </c>
      <c r="H604" s="2" t="str">
        <f t="shared" si="55"/>
        <v>Apr</v>
      </c>
      <c r="I604" s="2">
        <f t="shared" si="56"/>
        <v>4</v>
      </c>
      <c r="J604" s="2" t="str">
        <f t="shared" si="57"/>
        <v>2025-04</v>
      </c>
      <c r="K604" s="2">
        <f t="shared" si="58"/>
        <v>17</v>
      </c>
      <c r="L604" s="2">
        <f ca="1">AVERAGE(OFFSET(USD_NGN_Historical_Data__17[[#This Row],[Rate]], -6, 0, 7, 1))</f>
        <v>1601.9321428571425</v>
      </c>
      <c r="M604" s="2" t="str">
        <f t="shared" si="59"/>
        <v>Wed</v>
      </c>
    </row>
    <row r="605" spans="1:13" x14ac:dyDescent="0.35">
      <c r="A605" s="4">
        <v>45771</v>
      </c>
      <c r="B605" s="2">
        <v>1608.4349999999999</v>
      </c>
      <c r="C605" s="2">
        <v>1607.11</v>
      </c>
      <c r="D605" s="2">
        <v>1614.2249999999999</v>
      </c>
      <c r="E605" s="2">
        <v>1602.835</v>
      </c>
      <c r="F605" s="1">
        <v>6.9999999999999999E-4</v>
      </c>
      <c r="G605" s="2">
        <f t="shared" si="54"/>
        <v>2025</v>
      </c>
      <c r="H605" s="2" t="str">
        <f t="shared" si="55"/>
        <v>Apr</v>
      </c>
      <c r="I605" s="2">
        <f t="shared" si="56"/>
        <v>4</v>
      </c>
      <c r="J605" s="2" t="str">
        <f t="shared" si="57"/>
        <v>2025-04</v>
      </c>
      <c r="K605" s="2">
        <f t="shared" si="58"/>
        <v>17</v>
      </c>
      <c r="L605" s="2">
        <f ca="1">AVERAGE(OFFSET(USD_NGN_Historical_Data__17[[#This Row],[Rate]], -6, 0, 7, 1))</f>
        <v>1602.7342857142855</v>
      </c>
      <c r="M605" s="2" t="str">
        <f t="shared" si="59"/>
        <v>Thu</v>
      </c>
    </row>
    <row r="606" spans="1:13" x14ac:dyDescent="0.35">
      <c r="A606" s="4">
        <v>45772</v>
      </c>
      <c r="B606" s="2">
        <v>1607.66</v>
      </c>
      <c r="C606" s="2">
        <v>1606.675</v>
      </c>
      <c r="D606" s="2">
        <v>1613.835</v>
      </c>
      <c r="E606" s="2">
        <v>1603.61</v>
      </c>
      <c r="F606" s="1">
        <v>-5.0000000000000001E-4</v>
      </c>
      <c r="G606" s="2">
        <f t="shared" si="54"/>
        <v>2025</v>
      </c>
      <c r="H606" s="2" t="str">
        <f t="shared" si="55"/>
        <v>Apr</v>
      </c>
      <c r="I606" s="2">
        <f t="shared" si="56"/>
        <v>4</v>
      </c>
      <c r="J606" s="2" t="str">
        <f t="shared" si="57"/>
        <v>2025-04</v>
      </c>
      <c r="K606" s="2">
        <f t="shared" si="58"/>
        <v>17</v>
      </c>
      <c r="L606" s="2">
        <f ca="1">AVERAGE(OFFSET(USD_NGN_Historical_Data__17[[#This Row],[Rate]], -6, 0, 7, 1))</f>
        <v>1604.2157142857143</v>
      </c>
      <c r="M606" s="2" t="str">
        <f t="shared" si="59"/>
        <v>Fri</v>
      </c>
    </row>
    <row r="607" spans="1:13" x14ac:dyDescent="0.35">
      <c r="A607" s="4">
        <v>45775</v>
      </c>
      <c r="B607" s="2">
        <v>1603.95</v>
      </c>
      <c r="C607" s="2">
        <v>1608.5</v>
      </c>
      <c r="D607" s="2">
        <v>1612.5</v>
      </c>
      <c r="E607" s="2">
        <v>1602.26</v>
      </c>
      <c r="F607" s="1">
        <v>-2.3E-3</v>
      </c>
      <c r="G607" s="2">
        <f t="shared" si="54"/>
        <v>2025</v>
      </c>
      <c r="H607" s="2" t="str">
        <f t="shared" si="55"/>
        <v>Apr</v>
      </c>
      <c r="I607" s="2">
        <f t="shared" si="56"/>
        <v>4</v>
      </c>
      <c r="J607" s="2" t="str">
        <f t="shared" si="57"/>
        <v>2025-04</v>
      </c>
      <c r="K607" s="2">
        <f t="shared" si="58"/>
        <v>18</v>
      </c>
      <c r="L607" s="2">
        <f ca="1">AVERAGE(OFFSET(USD_NGN_Historical_Data__17[[#This Row],[Rate]], -6, 0, 7, 1))</f>
        <v>1604.67</v>
      </c>
      <c r="M607" s="2" t="str">
        <f t="shared" si="59"/>
        <v>Mon</v>
      </c>
    </row>
    <row r="608" spans="1:13" x14ac:dyDescent="0.35">
      <c r="A608" s="4">
        <v>45776</v>
      </c>
      <c r="B608" s="2">
        <v>1603.54</v>
      </c>
      <c r="C608" s="2">
        <v>1603.95</v>
      </c>
      <c r="D608" s="2">
        <v>1610.425</v>
      </c>
      <c r="E608" s="2">
        <v>1599.95</v>
      </c>
      <c r="F608" s="1">
        <v>-2.9999999999999997E-4</v>
      </c>
      <c r="G608" s="2">
        <f t="shared" si="54"/>
        <v>2025</v>
      </c>
      <c r="H608" s="2" t="str">
        <f t="shared" si="55"/>
        <v>Apr</v>
      </c>
      <c r="I608" s="2">
        <f t="shared" si="56"/>
        <v>4</v>
      </c>
      <c r="J608" s="2" t="str">
        <f t="shared" si="57"/>
        <v>2025-04</v>
      </c>
      <c r="K608" s="2">
        <f t="shared" si="58"/>
        <v>18</v>
      </c>
      <c r="L608" s="2">
        <f ca="1">AVERAGE(OFFSET(USD_NGN_Historical_Data__17[[#This Row],[Rate]], -6, 0, 7, 1))</f>
        <v>1605.1042857142857</v>
      </c>
      <c r="M608" s="2" t="str">
        <f t="shared" si="59"/>
        <v>Tue</v>
      </c>
    </row>
    <row r="609" spans="1:13" x14ac:dyDescent="0.35">
      <c r="A609" s="4">
        <v>45777</v>
      </c>
      <c r="B609" s="2">
        <v>1602.39</v>
      </c>
      <c r="C609" s="2">
        <v>1603.53</v>
      </c>
      <c r="D609" s="2">
        <v>1610</v>
      </c>
      <c r="E609" s="2">
        <v>1597.44</v>
      </c>
      <c r="F609" s="1">
        <v>-6.9999999999999999E-4</v>
      </c>
      <c r="G609" s="2">
        <f t="shared" si="54"/>
        <v>2025</v>
      </c>
      <c r="H609" s="2" t="str">
        <f t="shared" si="55"/>
        <v>Apr</v>
      </c>
      <c r="I609" s="2">
        <f t="shared" si="56"/>
        <v>4</v>
      </c>
      <c r="J609" s="2" t="str">
        <f t="shared" si="57"/>
        <v>2025-04</v>
      </c>
      <c r="K609" s="2">
        <f t="shared" si="58"/>
        <v>18</v>
      </c>
      <c r="L609" s="2">
        <f ca="1">AVERAGE(OFFSET(USD_NGN_Historical_Data__17[[#This Row],[Rate]], -6, 0, 7, 1))</f>
        <v>1605.3442857142857</v>
      </c>
      <c r="M609" s="2" t="str">
        <f t="shared" si="59"/>
        <v>Wed</v>
      </c>
    </row>
    <row r="610" spans="1:13" x14ac:dyDescent="0.35">
      <c r="A610" s="4">
        <v>45778</v>
      </c>
      <c r="B610" s="2">
        <v>1605.615</v>
      </c>
      <c r="C610" s="2">
        <v>1602.0650000000001</v>
      </c>
      <c r="D610" s="2">
        <v>1610</v>
      </c>
      <c r="E610" s="2">
        <v>1597.44</v>
      </c>
      <c r="F610" s="1">
        <v>2E-3</v>
      </c>
      <c r="G610" s="2">
        <f t="shared" si="54"/>
        <v>2025</v>
      </c>
      <c r="H610" s="2" t="str">
        <f t="shared" si="55"/>
        <v>May</v>
      </c>
      <c r="I610" s="2">
        <f t="shared" si="56"/>
        <v>5</v>
      </c>
      <c r="J610" s="2" t="str">
        <f t="shared" si="57"/>
        <v>2025-05</v>
      </c>
      <c r="K610" s="2">
        <f t="shared" si="58"/>
        <v>18</v>
      </c>
      <c r="L610" s="2">
        <f ca="1">AVERAGE(OFFSET(USD_NGN_Historical_Data__17[[#This Row],[Rate]], -6, 0, 7, 1))</f>
        <v>1605.5557142857142</v>
      </c>
      <c r="M610" s="2" t="str">
        <f t="shared" si="59"/>
        <v>Thu</v>
      </c>
    </row>
    <row r="611" spans="1:13" x14ac:dyDescent="0.35">
      <c r="A611" s="4">
        <v>45779</v>
      </c>
      <c r="B611" s="2">
        <v>1603.58</v>
      </c>
      <c r="C611" s="2">
        <v>1605.615</v>
      </c>
      <c r="D611" s="2">
        <v>1610</v>
      </c>
      <c r="E611" s="2">
        <v>1600.425</v>
      </c>
      <c r="F611" s="1">
        <v>-1.2999999999999999E-3</v>
      </c>
      <c r="G611" s="2">
        <f t="shared" si="54"/>
        <v>2025</v>
      </c>
      <c r="H611" s="2" t="str">
        <f t="shared" si="55"/>
        <v>May</v>
      </c>
      <c r="I611" s="2">
        <f t="shared" si="56"/>
        <v>5</v>
      </c>
      <c r="J611" s="2" t="str">
        <f t="shared" si="57"/>
        <v>2025-05</v>
      </c>
      <c r="K611" s="2">
        <f t="shared" si="58"/>
        <v>18</v>
      </c>
      <c r="L611" s="2">
        <f ca="1">AVERAGE(OFFSET(USD_NGN_Historical_Data__17[[#This Row],[Rate]], -6, 0, 7, 1))</f>
        <v>1605.0242857142857</v>
      </c>
      <c r="M611" s="2" t="str">
        <f t="shared" si="59"/>
        <v>Fri</v>
      </c>
    </row>
    <row r="612" spans="1:13" x14ac:dyDescent="0.35">
      <c r="A612" s="4">
        <v>45782</v>
      </c>
      <c r="B612" s="2">
        <v>1607.08</v>
      </c>
      <c r="C612" s="2">
        <v>1605.5</v>
      </c>
      <c r="D612" s="2">
        <v>1610</v>
      </c>
      <c r="E612" s="2">
        <v>1600.37</v>
      </c>
      <c r="F612" s="1">
        <v>2.2000000000000001E-3</v>
      </c>
      <c r="G612" s="2">
        <f t="shared" si="54"/>
        <v>2025</v>
      </c>
      <c r="H612" s="2" t="str">
        <f t="shared" si="55"/>
        <v>May</v>
      </c>
      <c r="I612" s="2">
        <f t="shared" si="56"/>
        <v>5</v>
      </c>
      <c r="J612" s="2" t="str">
        <f t="shared" si="57"/>
        <v>2025-05</v>
      </c>
      <c r="K612" s="2">
        <f t="shared" si="58"/>
        <v>19</v>
      </c>
      <c r="L612" s="2">
        <f ca="1">AVERAGE(OFFSET(USD_NGN_Historical_Data__17[[#This Row],[Rate]], -6, 0, 7, 1))</f>
        <v>1604.8307142857143</v>
      </c>
      <c r="M612" s="2" t="str">
        <f t="shared" si="59"/>
        <v>Mon</v>
      </c>
    </row>
    <row r="613" spans="1:13" x14ac:dyDescent="0.35">
      <c r="A613" s="4">
        <v>45783</v>
      </c>
      <c r="B613" s="2">
        <v>1606.7349999999999</v>
      </c>
      <c r="C613" s="2">
        <v>1607.095</v>
      </c>
      <c r="D613" s="2">
        <v>1610.29</v>
      </c>
      <c r="E613" s="2">
        <v>1601.98</v>
      </c>
      <c r="F613" s="1">
        <v>-2.0000000000000001E-4</v>
      </c>
      <c r="G613" s="2">
        <f t="shared" si="54"/>
        <v>2025</v>
      </c>
      <c r="H613" s="2" t="str">
        <f t="shared" si="55"/>
        <v>May</v>
      </c>
      <c r="I613" s="2">
        <f t="shared" si="56"/>
        <v>5</v>
      </c>
      <c r="J613" s="2" t="str">
        <f t="shared" si="57"/>
        <v>2025-05</v>
      </c>
      <c r="K613" s="2">
        <f t="shared" si="58"/>
        <v>19</v>
      </c>
      <c r="L613" s="2">
        <f ca="1">AVERAGE(OFFSET(USD_NGN_Historical_Data__17[[#This Row],[Rate]], -6, 0, 7, 1))</f>
        <v>1604.6985714285713</v>
      </c>
      <c r="M613" s="2" t="str">
        <f t="shared" si="59"/>
        <v>Tue</v>
      </c>
    </row>
    <row r="614" spans="1:13" x14ac:dyDescent="0.35">
      <c r="A614" s="4">
        <v>45784</v>
      </c>
      <c r="B614" s="2">
        <v>1607.49</v>
      </c>
      <c r="C614" s="2">
        <v>1606.7149999999999</v>
      </c>
      <c r="D614" s="2">
        <v>1613.41</v>
      </c>
      <c r="E614" s="2">
        <v>1603.65</v>
      </c>
      <c r="F614" s="1">
        <v>5.0000000000000001E-4</v>
      </c>
      <c r="G614" s="2">
        <f t="shared" si="54"/>
        <v>2025</v>
      </c>
      <c r="H614" s="2" t="str">
        <f t="shared" si="55"/>
        <v>May</v>
      </c>
      <c r="I614" s="2">
        <f t="shared" si="56"/>
        <v>5</v>
      </c>
      <c r="J614" s="2" t="str">
        <f t="shared" si="57"/>
        <v>2025-05</v>
      </c>
      <c r="K614" s="2">
        <f t="shared" si="58"/>
        <v>19</v>
      </c>
      <c r="L614" s="2">
        <f ca="1">AVERAGE(OFFSET(USD_NGN_Historical_Data__17[[#This Row],[Rate]], -6, 0, 7, 1))</f>
        <v>1605.2042857142858</v>
      </c>
      <c r="M614" s="2" t="str">
        <f t="shared" si="59"/>
        <v>Wed</v>
      </c>
    </row>
    <row r="615" spans="1:13" x14ac:dyDescent="0.35">
      <c r="A615" s="4">
        <v>45785</v>
      </c>
      <c r="B615" s="2">
        <v>1610.145</v>
      </c>
      <c r="C615" s="2">
        <v>1607.4549999999999</v>
      </c>
      <c r="D615" s="2">
        <v>1612.37</v>
      </c>
      <c r="E615" s="2">
        <v>1605.5550000000001</v>
      </c>
      <c r="F615" s="1">
        <v>1.6999999999999999E-3</v>
      </c>
      <c r="G615" s="2">
        <f t="shared" si="54"/>
        <v>2025</v>
      </c>
      <c r="H615" s="2" t="str">
        <f t="shared" si="55"/>
        <v>May</v>
      </c>
      <c r="I615" s="2">
        <f t="shared" si="56"/>
        <v>5</v>
      </c>
      <c r="J615" s="2" t="str">
        <f t="shared" si="57"/>
        <v>2025-05</v>
      </c>
      <c r="K615" s="2">
        <f t="shared" si="58"/>
        <v>19</v>
      </c>
      <c r="L615" s="2">
        <f ca="1">AVERAGE(OFFSET(USD_NGN_Historical_Data__17[[#This Row],[Rate]], -6, 0, 7, 1))</f>
        <v>1606.1478571428572</v>
      </c>
      <c r="M615" s="2" t="str">
        <f t="shared" si="59"/>
        <v>Thu</v>
      </c>
    </row>
    <row r="616" spans="1:13" x14ac:dyDescent="0.35">
      <c r="A616" s="4">
        <v>45786</v>
      </c>
      <c r="B616" s="2">
        <v>1607.22</v>
      </c>
      <c r="C616" s="2">
        <v>1610.165</v>
      </c>
      <c r="D616" s="2">
        <v>1613.895</v>
      </c>
      <c r="E616" s="2">
        <v>1604.625</v>
      </c>
      <c r="F616" s="1">
        <v>-1.8E-3</v>
      </c>
      <c r="G616" s="2">
        <f t="shared" si="54"/>
        <v>2025</v>
      </c>
      <c r="H616" s="2" t="str">
        <f t="shared" si="55"/>
        <v>May</v>
      </c>
      <c r="I616" s="2">
        <f t="shared" si="56"/>
        <v>5</v>
      </c>
      <c r="J616" s="2" t="str">
        <f t="shared" si="57"/>
        <v>2025-05</v>
      </c>
      <c r="K616" s="2">
        <f t="shared" si="58"/>
        <v>19</v>
      </c>
      <c r="L616" s="2">
        <f ca="1">AVERAGE(OFFSET(USD_NGN_Historical_Data__17[[#This Row],[Rate]], -6, 0, 7, 1))</f>
        <v>1606.8378571428568</v>
      </c>
      <c r="M616" s="2" t="str">
        <f t="shared" si="59"/>
        <v>Fri</v>
      </c>
    </row>
    <row r="617" spans="1:13" x14ac:dyDescent="0.35">
      <c r="A617" s="4">
        <v>45789</v>
      </c>
      <c r="B617" s="2">
        <v>1603.3050000000001</v>
      </c>
      <c r="C617" s="2">
        <v>1608</v>
      </c>
      <c r="D617" s="2">
        <v>1613.21</v>
      </c>
      <c r="E617" s="2">
        <v>1598.7</v>
      </c>
      <c r="F617" s="1">
        <v>-2.3999999999999998E-3</v>
      </c>
      <c r="G617" s="2">
        <f t="shared" si="54"/>
        <v>2025</v>
      </c>
      <c r="H617" s="2" t="str">
        <f t="shared" si="55"/>
        <v>May</v>
      </c>
      <c r="I617" s="2">
        <f t="shared" si="56"/>
        <v>5</v>
      </c>
      <c r="J617" s="2" t="str">
        <f t="shared" si="57"/>
        <v>2025-05</v>
      </c>
      <c r="K617" s="2">
        <f t="shared" si="58"/>
        <v>20</v>
      </c>
      <c r="L617" s="2">
        <f ca="1">AVERAGE(OFFSET(USD_NGN_Historical_Data__17[[#This Row],[Rate]], -6, 0, 7, 1))</f>
        <v>1606.5078571428569</v>
      </c>
      <c r="M617" s="2" t="str">
        <f t="shared" si="59"/>
        <v>Mon</v>
      </c>
    </row>
    <row r="618" spans="1:13" x14ac:dyDescent="0.35">
      <c r="A618" s="4">
        <v>45790</v>
      </c>
      <c r="B618" s="2">
        <v>1601.88</v>
      </c>
      <c r="C618" s="2">
        <v>1606.15</v>
      </c>
      <c r="D618" s="2">
        <v>1606.575</v>
      </c>
      <c r="E618" s="2">
        <v>1597.82</v>
      </c>
      <c r="F618" s="1">
        <v>-8.9999999999999998E-4</v>
      </c>
      <c r="G618" s="2">
        <f t="shared" si="54"/>
        <v>2025</v>
      </c>
      <c r="H618" s="2" t="str">
        <f t="shared" si="55"/>
        <v>May</v>
      </c>
      <c r="I618" s="2">
        <f t="shared" si="56"/>
        <v>5</v>
      </c>
      <c r="J618" s="2" t="str">
        <f t="shared" si="57"/>
        <v>2025-05</v>
      </c>
      <c r="K618" s="2">
        <f t="shared" si="58"/>
        <v>20</v>
      </c>
      <c r="L618" s="2">
        <f ca="1">AVERAGE(OFFSET(USD_NGN_Historical_Data__17[[#This Row],[Rate]], -6, 0, 7, 1))</f>
        <v>1606.2649999999999</v>
      </c>
      <c r="M618" s="2" t="str">
        <f t="shared" si="59"/>
        <v>Tue</v>
      </c>
    </row>
    <row r="619" spans="1:13" x14ac:dyDescent="0.35">
      <c r="A619" s="4">
        <v>45791</v>
      </c>
      <c r="B619" s="2">
        <v>1600.835</v>
      </c>
      <c r="C619" s="2">
        <v>1601.87</v>
      </c>
      <c r="D619" s="2">
        <v>1604.31</v>
      </c>
      <c r="E619" s="2">
        <v>1597.5150000000001</v>
      </c>
      <c r="F619" s="1">
        <v>-6.9999999999999999E-4</v>
      </c>
      <c r="G619" s="2">
        <f t="shared" si="54"/>
        <v>2025</v>
      </c>
      <c r="H619" s="2" t="str">
        <f t="shared" si="55"/>
        <v>May</v>
      </c>
      <c r="I619" s="2">
        <f t="shared" si="56"/>
        <v>5</v>
      </c>
      <c r="J619" s="2" t="str">
        <f t="shared" si="57"/>
        <v>2025-05</v>
      </c>
      <c r="K619" s="2">
        <f t="shared" si="58"/>
        <v>20</v>
      </c>
      <c r="L619" s="2">
        <f ca="1">AVERAGE(OFFSET(USD_NGN_Historical_Data__17[[#This Row],[Rate]], -6, 0, 7, 1))</f>
        <v>1605.3728571428571</v>
      </c>
      <c r="M619" s="2" t="str">
        <f t="shared" si="59"/>
        <v>Wed</v>
      </c>
    </row>
    <row r="620" spans="1:13" x14ac:dyDescent="0.35">
      <c r="A620" s="4">
        <v>45792</v>
      </c>
      <c r="B620" s="2">
        <v>1600.18</v>
      </c>
      <c r="C620" s="2">
        <v>1600.08</v>
      </c>
      <c r="D620" s="2">
        <v>1604.645</v>
      </c>
      <c r="E620" s="2">
        <v>1596.4749999999999</v>
      </c>
      <c r="F620" s="1">
        <v>-4.0000000000000002E-4</v>
      </c>
      <c r="G620" s="2">
        <f t="shared" si="54"/>
        <v>2025</v>
      </c>
      <c r="H620" s="2" t="str">
        <f t="shared" si="55"/>
        <v>May</v>
      </c>
      <c r="I620" s="2">
        <f t="shared" si="56"/>
        <v>5</v>
      </c>
      <c r="J620" s="2" t="str">
        <f t="shared" si="57"/>
        <v>2025-05</v>
      </c>
      <c r="K620" s="2">
        <f t="shared" si="58"/>
        <v>20</v>
      </c>
      <c r="L620" s="2">
        <f ca="1">AVERAGE(OFFSET(USD_NGN_Historical_Data__17[[#This Row],[Rate]], -6, 0, 7, 1))</f>
        <v>1604.4364285714287</v>
      </c>
      <c r="M620" s="2" t="str">
        <f t="shared" si="59"/>
        <v>Thu</v>
      </c>
    </row>
    <row r="621" spans="1:13" x14ac:dyDescent="0.35">
      <c r="A621" s="4">
        <v>45793</v>
      </c>
      <c r="B621" s="2">
        <v>1601.68</v>
      </c>
      <c r="C621" s="2">
        <v>1600.74</v>
      </c>
      <c r="D621" s="2">
        <v>1605.175</v>
      </c>
      <c r="E621" s="2">
        <v>1593.85</v>
      </c>
      <c r="F621" s="1">
        <v>8.9999999999999998E-4</v>
      </c>
      <c r="G621" s="2">
        <f t="shared" si="54"/>
        <v>2025</v>
      </c>
      <c r="H621" s="2" t="str">
        <f t="shared" si="55"/>
        <v>May</v>
      </c>
      <c r="I621" s="2">
        <f t="shared" si="56"/>
        <v>5</v>
      </c>
      <c r="J621" s="2" t="str">
        <f t="shared" si="57"/>
        <v>2025-05</v>
      </c>
      <c r="K621" s="2">
        <f t="shared" si="58"/>
        <v>20</v>
      </c>
      <c r="L621" s="2">
        <f ca="1">AVERAGE(OFFSET(USD_NGN_Historical_Data__17[[#This Row],[Rate]], -6, 0, 7, 1))</f>
        <v>1603.6064285714288</v>
      </c>
      <c r="M621" s="2" t="str">
        <f t="shared" si="59"/>
        <v>Fri</v>
      </c>
    </row>
    <row r="622" spans="1:13" x14ac:dyDescent="0.35">
      <c r="A622" s="4">
        <v>45796</v>
      </c>
      <c r="B622" s="2">
        <v>1599.9449999999999</v>
      </c>
      <c r="C622" s="2">
        <v>1602</v>
      </c>
      <c r="D622" s="2">
        <v>1607.125</v>
      </c>
      <c r="E622" s="2">
        <v>1596.35</v>
      </c>
      <c r="F622" s="1">
        <v>-1.1000000000000001E-3</v>
      </c>
      <c r="G622" s="2">
        <f t="shared" si="54"/>
        <v>2025</v>
      </c>
      <c r="H622" s="2" t="str">
        <f t="shared" si="55"/>
        <v>May</v>
      </c>
      <c r="I622" s="2">
        <f t="shared" si="56"/>
        <v>5</v>
      </c>
      <c r="J622" s="2" t="str">
        <f t="shared" si="57"/>
        <v>2025-05</v>
      </c>
      <c r="K622" s="2">
        <f t="shared" si="58"/>
        <v>21</v>
      </c>
      <c r="L622" s="2">
        <f ca="1">AVERAGE(OFFSET(USD_NGN_Historical_Data__17[[#This Row],[Rate]], -6, 0, 7, 1))</f>
        <v>1602.1492857142857</v>
      </c>
      <c r="M622" s="2" t="str">
        <f t="shared" si="59"/>
        <v>Mon</v>
      </c>
    </row>
    <row r="623" spans="1:13" x14ac:dyDescent="0.35">
      <c r="A623" s="4">
        <v>45797</v>
      </c>
      <c r="B623" s="2">
        <v>1596.26</v>
      </c>
      <c r="C623" s="2">
        <v>1599.48</v>
      </c>
      <c r="D623" s="2">
        <v>1607.13</v>
      </c>
      <c r="E623" s="2">
        <v>1593.51</v>
      </c>
      <c r="F623" s="1">
        <v>-2.3E-3</v>
      </c>
      <c r="G623" s="2">
        <f t="shared" si="54"/>
        <v>2025</v>
      </c>
      <c r="H623" s="2" t="str">
        <f t="shared" si="55"/>
        <v>May</v>
      </c>
      <c r="I623" s="2">
        <f t="shared" si="56"/>
        <v>5</v>
      </c>
      <c r="J623" s="2" t="str">
        <f t="shared" si="57"/>
        <v>2025-05</v>
      </c>
      <c r="K623" s="2">
        <f t="shared" si="58"/>
        <v>21</v>
      </c>
      <c r="L623" s="2">
        <f ca="1">AVERAGE(OFFSET(USD_NGN_Historical_Data__17[[#This Row],[Rate]], -6, 0, 7, 1))</f>
        <v>1600.5835714285715</v>
      </c>
      <c r="M623" s="2" t="str">
        <f t="shared" si="59"/>
        <v>Tue</v>
      </c>
    </row>
    <row r="624" spans="1:13" x14ac:dyDescent="0.35">
      <c r="A624" s="4">
        <v>45798</v>
      </c>
      <c r="B624" s="2">
        <v>1587.855</v>
      </c>
      <c r="C624" s="2">
        <v>1596.42</v>
      </c>
      <c r="D624" s="2">
        <v>1598.5050000000001</v>
      </c>
      <c r="E624" s="2">
        <v>1580</v>
      </c>
      <c r="F624" s="1">
        <v>-5.3E-3</v>
      </c>
      <c r="G624" s="2">
        <f t="shared" si="54"/>
        <v>2025</v>
      </c>
      <c r="H624" s="2" t="str">
        <f t="shared" si="55"/>
        <v>May</v>
      </c>
      <c r="I624" s="2">
        <f t="shared" si="56"/>
        <v>5</v>
      </c>
      <c r="J624" s="2" t="str">
        <f t="shared" si="57"/>
        <v>2025-05</v>
      </c>
      <c r="K624" s="2">
        <f t="shared" si="58"/>
        <v>21</v>
      </c>
      <c r="L624" s="2">
        <f ca="1">AVERAGE(OFFSET(USD_NGN_Historical_Data__17[[#This Row],[Rate]], -6, 0, 7, 1))</f>
        <v>1598.3764285714285</v>
      </c>
      <c r="M624" s="2" t="str">
        <f t="shared" si="59"/>
        <v>Wed</v>
      </c>
    </row>
    <row r="625" spans="1:13" x14ac:dyDescent="0.35">
      <c r="A625" s="4">
        <v>45799</v>
      </c>
      <c r="B625" s="2">
        <v>1590.0150000000001</v>
      </c>
      <c r="C625" s="2">
        <v>1587.93</v>
      </c>
      <c r="D625" s="2">
        <v>1593.35</v>
      </c>
      <c r="E625" s="2">
        <v>1586.92</v>
      </c>
      <c r="F625" s="1">
        <v>1.4E-3</v>
      </c>
      <c r="G625" s="2">
        <f t="shared" si="54"/>
        <v>2025</v>
      </c>
      <c r="H625" s="2" t="str">
        <f t="shared" si="55"/>
        <v>May</v>
      </c>
      <c r="I625" s="2">
        <f t="shared" si="56"/>
        <v>5</v>
      </c>
      <c r="J625" s="2" t="str">
        <f t="shared" si="57"/>
        <v>2025-05</v>
      </c>
      <c r="K625" s="2">
        <f t="shared" si="58"/>
        <v>21</v>
      </c>
      <c r="L625" s="2">
        <f ca="1">AVERAGE(OFFSET(USD_NGN_Historical_Data__17[[#This Row],[Rate]], -6, 0, 7, 1))</f>
        <v>1596.6814285714286</v>
      </c>
      <c r="M625" s="2" t="str">
        <f t="shared" si="59"/>
        <v>Thu</v>
      </c>
    </row>
    <row r="626" spans="1:13" x14ac:dyDescent="0.35">
      <c r="A626" s="4">
        <v>45800</v>
      </c>
      <c r="B626" s="2">
        <v>1588.615</v>
      </c>
      <c r="C626" s="2">
        <v>1587.84</v>
      </c>
      <c r="D626" s="2">
        <v>1591.165</v>
      </c>
      <c r="E626" s="2">
        <v>1583.355</v>
      </c>
      <c r="F626" s="1">
        <v>-8.9999999999999998E-4</v>
      </c>
      <c r="G626" s="2">
        <f t="shared" si="54"/>
        <v>2025</v>
      </c>
      <c r="H626" s="2" t="str">
        <f t="shared" si="55"/>
        <v>May</v>
      </c>
      <c r="I626" s="2">
        <f t="shared" si="56"/>
        <v>5</v>
      </c>
      <c r="J626" s="2" t="str">
        <f t="shared" si="57"/>
        <v>2025-05</v>
      </c>
      <c r="K626" s="2">
        <f t="shared" si="58"/>
        <v>21</v>
      </c>
      <c r="L626" s="2">
        <f ca="1">AVERAGE(OFFSET(USD_NGN_Historical_Data__17[[#This Row],[Rate]], -6, 0, 7, 1))</f>
        <v>1594.9357142857141</v>
      </c>
      <c r="M626" s="2" t="str">
        <f t="shared" si="59"/>
        <v>Fri</v>
      </c>
    </row>
    <row r="627" spans="1:13" x14ac:dyDescent="0.35">
      <c r="A627" s="4">
        <v>45803</v>
      </c>
      <c r="B627" s="2">
        <v>1583.345</v>
      </c>
      <c r="C627" s="2">
        <v>1586.5</v>
      </c>
      <c r="D627" s="2">
        <v>1587.6949999999999</v>
      </c>
      <c r="E627" s="2">
        <v>1579.865</v>
      </c>
      <c r="F627" s="1">
        <v>-3.3E-3</v>
      </c>
      <c r="G627" s="2">
        <f t="shared" si="54"/>
        <v>2025</v>
      </c>
      <c r="H627" s="2" t="str">
        <f t="shared" si="55"/>
        <v>May</v>
      </c>
      <c r="I627" s="2">
        <f t="shared" si="56"/>
        <v>5</v>
      </c>
      <c r="J627" s="2" t="str">
        <f t="shared" si="57"/>
        <v>2025-05</v>
      </c>
      <c r="K627" s="2">
        <f t="shared" si="58"/>
        <v>22</v>
      </c>
      <c r="L627" s="2">
        <f ca="1">AVERAGE(OFFSET(USD_NGN_Historical_Data__17[[#This Row],[Rate]], -6, 0, 7, 1))</f>
        <v>1592.5307142857143</v>
      </c>
      <c r="M627" s="2" t="str">
        <f t="shared" si="59"/>
        <v>Mon</v>
      </c>
    </row>
    <row r="628" spans="1:13" x14ac:dyDescent="0.35">
      <c r="A628" s="4">
        <v>45804</v>
      </c>
      <c r="B628" s="2">
        <v>1586.44</v>
      </c>
      <c r="C628" s="2">
        <v>1583.345</v>
      </c>
      <c r="D628" s="2">
        <v>1590</v>
      </c>
      <c r="E628" s="2">
        <v>1581.63</v>
      </c>
      <c r="F628" s="1">
        <v>2E-3</v>
      </c>
      <c r="G628" s="2">
        <f t="shared" si="54"/>
        <v>2025</v>
      </c>
      <c r="H628" s="2" t="str">
        <f t="shared" si="55"/>
        <v>May</v>
      </c>
      <c r="I628" s="2">
        <f t="shared" si="56"/>
        <v>5</v>
      </c>
      <c r="J628" s="2" t="str">
        <f t="shared" si="57"/>
        <v>2025-05</v>
      </c>
      <c r="K628" s="2">
        <f t="shared" si="58"/>
        <v>22</v>
      </c>
      <c r="L628" s="2">
        <f ca="1">AVERAGE(OFFSET(USD_NGN_Historical_Data__17[[#This Row],[Rate]], -6, 0, 7, 1))</f>
        <v>1590.3535714285715</v>
      </c>
      <c r="M628" s="2" t="str">
        <f t="shared" si="59"/>
        <v>Tue</v>
      </c>
    </row>
    <row r="629" spans="1:13" x14ac:dyDescent="0.35">
      <c r="A629" s="4">
        <v>45805</v>
      </c>
      <c r="B629" s="2">
        <v>1587.47</v>
      </c>
      <c r="C629" s="2">
        <v>1585.35</v>
      </c>
      <c r="D629" s="2">
        <v>1589.7149999999999</v>
      </c>
      <c r="E629" s="2">
        <v>1584.35</v>
      </c>
      <c r="F629" s="1">
        <v>5.9999999999999995E-4</v>
      </c>
      <c r="G629" s="2">
        <f t="shared" si="54"/>
        <v>2025</v>
      </c>
      <c r="H629" s="2" t="str">
        <f t="shared" si="55"/>
        <v>May</v>
      </c>
      <c r="I629" s="2">
        <f t="shared" si="56"/>
        <v>5</v>
      </c>
      <c r="J629" s="2" t="str">
        <f t="shared" si="57"/>
        <v>2025-05</v>
      </c>
      <c r="K629" s="2">
        <f t="shared" si="58"/>
        <v>22</v>
      </c>
      <c r="L629" s="2">
        <f ca="1">AVERAGE(OFFSET(USD_NGN_Historical_Data__17[[#This Row],[Rate]], -6, 0, 7, 1))</f>
        <v>1588.5714285714287</v>
      </c>
      <c r="M629" s="2" t="str">
        <f t="shared" si="59"/>
        <v>Wed</v>
      </c>
    </row>
    <row r="630" spans="1:13" x14ac:dyDescent="0.35">
      <c r="A630" s="4">
        <v>45806</v>
      </c>
      <c r="B630" s="2">
        <v>1589.81</v>
      </c>
      <c r="C630" s="2">
        <v>1585.64</v>
      </c>
      <c r="D630" s="2">
        <v>1592.76</v>
      </c>
      <c r="E630" s="2">
        <v>1585.32</v>
      </c>
      <c r="F630" s="1">
        <v>1.5E-3</v>
      </c>
      <c r="G630" s="2">
        <f t="shared" si="54"/>
        <v>2025</v>
      </c>
      <c r="H630" s="2" t="str">
        <f t="shared" si="55"/>
        <v>May</v>
      </c>
      <c r="I630" s="2">
        <f t="shared" si="56"/>
        <v>5</v>
      </c>
      <c r="J630" s="2" t="str">
        <f t="shared" si="57"/>
        <v>2025-05</v>
      </c>
      <c r="K630" s="2">
        <f t="shared" si="58"/>
        <v>22</v>
      </c>
      <c r="L630" s="2">
        <f ca="1">AVERAGE(OFFSET(USD_NGN_Historical_Data__17[[#This Row],[Rate]], -6, 0, 7, 1))</f>
        <v>1587.6499999999999</v>
      </c>
      <c r="M630" s="2" t="str">
        <f t="shared" si="59"/>
        <v>Thu</v>
      </c>
    </row>
    <row r="631" spans="1:13" x14ac:dyDescent="0.35">
      <c r="A631" s="4">
        <v>45807</v>
      </c>
      <c r="B631" s="2">
        <v>1587.95</v>
      </c>
      <c r="C631" s="2">
        <v>1589.81</v>
      </c>
      <c r="D631" s="2">
        <v>1591.585</v>
      </c>
      <c r="E631" s="2">
        <v>1585.88</v>
      </c>
      <c r="F631" s="1">
        <v>-1.1999999999999999E-3</v>
      </c>
      <c r="G631" s="2">
        <f t="shared" si="54"/>
        <v>2025</v>
      </c>
      <c r="H631" s="2" t="str">
        <f t="shared" si="55"/>
        <v>May</v>
      </c>
      <c r="I631" s="2">
        <f t="shared" si="56"/>
        <v>5</v>
      </c>
      <c r="J631" s="2" t="str">
        <f t="shared" si="57"/>
        <v>2025-05</v>
      </c>
      <c r="K631" s="2">
        <f t="shared" si="58"/>
        <v>22</v>
      </c>
      <c r="L631" s="2">
        <f ca="1">AVERAGE(OFFSET(USD_NGN_Historical_Data__17[[#This Row],[Rate]], -6, 0, 7, 1))</f>
        <v>1587.6635714285717</v>
      </c>
      <c r="M631" s="2" t="str">
        <f t="shared" si="59"/>
        <v>Fri</v>
      </c>
    </row>
    <row r="632" spans="1:13" x14ac:dyDescent="0.35">
      <c r="A632" s="4">
        <v>45810</v>
      </c>
      <c r="B632" s="2">
        <v>1584.21</v>
      </c>
      <c r="C632" s="2">
        <v>1587</v>
      </c>
      <c r="D632" s="2">
        <v>1590.5</v>
      </c>
      <c r="E632" s="2">
        <v>1580.2750000000001</v>
      </c>
      <c r="F632" s="1">
        <v>-2.3999999999999998E-3</v>
      </c>
      <c r="G632" s="2">
        <f t="shared" si="54"/>
        <v>2025</v>
      </c>
      <c r="H632" s="2" t="str">
        <f t="shared" si="55"/>
        <v>Jun</v>
      </c>
      <c r="I632" s="2">
        <f t="shared" si="56"/>
        <v>6</v>
      </c>
      <c r="J632" s="2" t="str">
        <f t="shared" si="57"/>
        <v>2025-06</v>
      </c>
      <c r="K632" s="2">
        <f t="shared" si="58"/>
        <v>23</v>
      </c>
      <c r="L632" s="2">
        <f ca="1">AVERAGE(OFFSET(USD_NGN_Historical_Data__17[[#This Row],[Rate]], -6, 0, 7, 1))</f>
        <v>1586.8342857142857</v>
      </c>
      <c r="M632" s="2" t="str">
        <f t="shared" si="59"/>
        <v>Mon</v>
      </c>
    </row>
    <row r="633" spans="1:13" x14ac:dyDescent="0.35">
      <c r="A633" s="4">
        <v>45811</v>
      </c>
      <c r="B633" s="2">
        <v>1581.2349999999999</v>
      </c>
      <c r="C633" s="2">
        <v>1582</v>
      </c>
      <c r="D633" s="2">
        <v>1587.075</v>
      </c>
      <c r="E633" s="2">
        <v>1578</v>
      </c>
      <c r="F633" s="1">
        <v>-1.9E-3</v>
      </c>
      <c r="G633" s="2">
        <f t="shared" si="54"/>
        <v>2025</v>
      </c>
      <c r="H633" s="2" t="str">
        <f t="shared" si="55"/>
        <v>Jun</v>
      </c>
      <c r="I633" s="2">
        <f t="shared" si="56"/>
        <v>6</v>
      </c>
      <c r="J633" s="2" t="str">
        <f t="shared" si="57"/>
        <v>2025-06</v>
      </c>
      <c r="K633" s="2">
        <f t="shared" si="58"/>
        <v>23</v>
      </c>
      <c r="L633" s="2">
        <f ca="1">AVERAGE(OFFSET(USD_NGN_Historical_Data__17[[#This Row],[Rate]], -6, 0, 7, 1))</f>
        <v>1585.7800000000002</v>
      </c>
      <c r="M633" s="2" t="str">
        <f t="shared" si="59"/>
        <v>Tue</v>
      </c>
    </row>
    <row r="634" spans="1:13" x14ac:dyDescent="0.35">
      <c r="A634" s="4">
        <v>45812</v>
      </c>
      <c r="B634" s="2">
        <v>1577.38</v>
      </c>
      <c r="C634" s="2">
        <v>1581.2650000000001</v>
      </c>
      <c r="D634" s="2">
        <v>1584.5</v>
      </c>
      <c r="E634" s="2">
        <v>1573.13</v>
      </c>
      <c r="F634" s="1">
        <v>-2.3999999999999998E-3</v>
      </c>
      <c r="G634" s="2">
        <f t="shared" si="54"/>
        <v>2025</v>
      </c>
      <c r="H634" s="2" t="str">
        <f t="shared" si="55"/>
        <v>Jun</v>
      </c>
      <c r="I634" s="2">
        <f t="shared" si="56"/>
        <v>6</v>
      </c>
      <c r="J634" s="2" t="str">
        <f t="shared" si="57"/>
        <v>2025-06</v>
      </c>
      <c r="K634" s="2">
        <f t="shared" si="58"/>
        <v>23</v>
      </c>
      <c r="L634" s="2">
        <f ca="1">AVERAGE(OFFSET(USD_NGN_Historical_Data__17[[#This Row],[Rate]], -6, 0, 7, 1))</f>
        <v>1584.927857142857</v>
      </c>
      <c r="M634" s="2" t="str">
        <f t="shared" si="59"/>
        <v>Wed</v>
      </c>
    </row>
    <row r="635" spans="1:13" x14ac:dyDescent="0.35">
      <c r="A635" s="4">
        <v>45813</v>
      </c>
      <c r="B635" s="2">
        <v>1558.845</v>
      </c>
      <c r="C635" s="2">
        <v>1577.47</v>
      </c>
      <c r="D635" s="2">
        <v>1583.425</v>
      </c>
      <c r="E635" s="2">
        <v>1554.84</v>
      </c>
      <c r="F635" s="1">
        <v>-1.18E-2</v>
      </c>
      <c r="G635" s="2">
        <f t="shared" si="54"/>
        <v>2025</v>
      </c>
      <c r="H635" s="2" t="str">
        <f t="shared" si="55"/>
        <v>Jun</v>
      </c>
      <c r="I635" s="2">
        <f t="shared" si="56"/>
        <v>6</v>
      </c>
      <c r="J635" s="2" t="str">
        <f t="shared" si="57"/>
        <v>2025-06</v>
      </c>
      <c r="K635" s="2">
        <f t="shared" si="58"/>
        <v>23</v>
      </c>
      <c r="L635" s="2">
        <f ca="1">AVERAGE(OFFSET(USD_NGN_Historical_Data__17[[#This Row],[Rate]], -6, 0, 7, 1))</f>
        <v>1580.9857142857143</v>
      </c>
      <c r="M635" s="2" t="str">
        <f t="shared" si="59"/>
        <v>Thu</v>
      </c>
    </row>
    <row r="636" spans="1:13" x14ac:dyDescent="0.35">
      <c r="A636" s="4">
        <v>45814</v>
      </c>
      <c r="B636" s="2">
        <v>1558.155</v>
      </c>
      <c r="C636" s="2">
        <v>1560.0150000000001</v>
      </c>
      <c r="D636" s="2">
        <v>1563.2449999999999</v>
      </c>
      <c r="E636" s="2">
        <v>1554.58</v>
      </c>
      <c r="F636" s="1">
        <v>-4.0000000000000002E-4</v>
      </c>
      <c r="G636" s="2">
        <f t="shared" si="54"/>
        <v>2025</v>
      </c>
      <c r="H636" s="2" t="str">
        <f t="shared" si="55"/>
        <v>Jun</v>
      </c>
      <c r="I636" s="2">
        <f t="shared" si="56"/>
        <v>6</v>
      </c>
      <c r="J636" s="2" t="str">
        <f t="shared" si="57"/>
        <v>2025-06</v>
      </c>
      <c r="K636" s="2">
        <f t="shared" si="58"/>
        <v>23</v>
      </c>
      <c r="L636" s="2">
        <f ca="1">AVERAGE(OFFSET(USD_NGN_Historical_Data__17[[#This Row],[Rate]], -6, 0, 7, 1))</f>
        <v>1576.7978571428573</v>
      </c>
      <c r="M636" s="2" t="str">
        <f t="shared" si="59"/>
        <v>Fri</v>
      </c>
    </row>
    <row r="637" spans="1:13" x14ac:dyDescent="0.35">
      <c r="A637" s="4">
        <v>45817</v>
      </c>
      <c r="B637" s="2">
        <v>1558.12</v>
      </c>
      <c r="C637" s="2">
        <v>1560.5</v>
      </c>
      <c r="D637" s="2">
        <v>1562.5</v>
      </c>
      <c r="E637" s="2">
        <v>1554.83</v>
      </c>
      <c r="F637" s="1">
        <v>0</v>
      </c>
      <c r="G637" s="2">
        <f t="shared" si="54"/>
        <v>2025</v>
      </c>
      <c r="H637" s="2" t="str">
        <f t="shared" si="55"/>
        <v>Jun</v>
      </c>
      <c r="I637" s="2">
        <f t="shared" si="56"/>
        <v>6</v>
      </c>
      <c r="J637" s="2" t="str">
        <f t="shared" si="57"/>
        <v>2025-06</v>
      </c>
      <c r="K637" s="2">
        <f t="shared" si="58"/>
        <v>24</v>
      </c>
      <c r="L637" s="2">
        <f ca="1">AVERAGE(OFFSET(USD_NGN_Historical_Data__17[[#This Row],[Rate]], -6, 0, 7, 1))</f>
        <v>1572.2707142857143</v>
      </c>
      <c r="M637" s="2" t="str">
        <f t="shared" si="59"/>
        <v>Mon</v>
      </c>
    </row>
    <row r="638" spans="1:13" x14ac:dyDescent="0.35">
      <c r="A638" s="4">
        <v>45818</v>
      </c>
      <c r="B638" s="2">
        <v>1544.19</v>
      </c>
      <c r="C638" s="2">
        <v>1558.105</v>
      </c>
      <c r="D638" s="2">
        <v>1560.0150000000001</v>
      </c>
      <c r="E638" s="2">
        <v>1539.42</v>
      </c>
      <c r="F638" s="1">
        <v>-8.8999999999999999E-3</v>
      </c>
      <c r="G638" s="2">
        <f t="shared" si="54"/>
        <v>2025</v>
      </c>
      <c r="H638" s="2" t="str">
        <f t="shared" si="55"/>
        <v>Jun</v>
      </c>
      <c r="I638" s="2">
        <f t="shared" si="56"/>
        <v>6</v>
      </c>
      <c r="J638" s="2" t="str">
        <f t="shared" si="57"/>
        <v>2025-06</v>
      </c>
      <c r="K638" s="2">
        <f t="shared" si="58"/>
        <v>24</v>
      </c>
      <c r="L638" s="2">
        <f ca="1">AVERAGE(OFFSET(USD_NGN_Historical_Data__17[[#This Row],[Rate]], -6, 0, 7, 1))</f>
        <v>1566.0192857142858</v>
      </c>
      <c r="M638" s="2" t="str">
        <f t="shared" si="59"/>
        <v>Tue</v>
      </c>
    </row>
    <row r="639" spans="1:13" x14ac:dyDescent="0.35">
      <c r="A639" s="4">
        <v>45819</v>
      </c>
      <c r="B639" s="2">
        <v>1543.1</v>
      </c>
      <c r="C639" s="2">
        <v>1544.165</v>
      </c>
      <c r="D639" s="2">
        <v>1559</v>
      </c>
      <c r="E639" s="2">
        <v>1538.5</v>
      </c>
      <c r="F639" s="1">
        <v>-6.9999999999999999E-4</v>
      </c>
      <c r="G639" s="2">
        <f t="shared" si="54"/>
        <v>2025</v>
      </c>
      <c r="H639" s="2" t="str">
        <f t="shared" si="55"/>
        <v>Jun</v>
      </c>
      <c r="I639" s="2">
        <f t="shared" si="56"/>
        <v>6</v>
      </c>
      <c r="J639" s="2" t="str">
        <f t="shared" si="57"/>
        <v>2025-06</v>
      </c>
      <c r="K639" s="2">
        <f t="shared" si="58"/>
        <v>24</v>
      </c>
      <c r="L639" s="2">
        <f ca="1">AVERAGE(OFFSET(USD_NGN_Historical_Data__17[[#This Row],[Rate]], -6, 0, 7, 1))</f>
        <v>1560.1464285714285</v>
      </c>
      <c r="M639" s="2" t="str">
        <f t="shared" si="59"/>
        <v>Wed</v>
      </c>
    </row>
    <row r="640" spans="1:13" x14ac:dyDescent="0.35">
      <c r="A640" s="4">
        <v>45820</v>
      </c>
      <c r="B640" s="2">
        <v>1540.38</v>
      </c>
      <c r="C640" s="2">
        <v>1559</v>
      </c>
      <c r="D640" s="2">
        <v>1559</v>
      </c>
      <c r="E640" s="2">
        <v>1533</v>
      </c>
      <c r="F640" s="1">
        <v>-1.8E-3</v>
      </c>
      <c r="G640" s="2">
        <f t="shared" si="54"/>
        <v>2025</v>
      </c>
      <c r="H640" s="2" t="str">
        <f t="shared" si="55"/>
        <v>Jun</v>
      </c>
      <c r="I640" s="2">
        <f t="shared" si="56"/>
        <v>6</v>
      </c>
      <c r="J640" s="2" t="str">
        <f t="shared" si="57"/>
        <v>2025-06</v>
      </c>
      <c r="K640" s="2">
        <f t="shared" si="58"/>
        <v>24</v>
      </c>
      <c r="L640" s="2">
        <f ca="1">AVERAGE(OFFSET(USD_NGN_Historical_Data__17[[#This Row],[Rate]], -6, 0, 7, 1))</f>
        <v>1554.3100000000002</v>
      </c>
      <c r="M640" s="2" t="str">
        <f t="shared" si="59"/>
        <v>Thu</v>
      </c>
    </row>
    <row r="641" spans="1:13" x14ac:dyDescent="0.35">
      <c r="A641" s="4">
        <v>45821</v>
      </c>
      <c r="B641" s="2">
        <v>1544.875</v>
      </c>
      <c r="C641" s="2">
        <v>1541.5050000000001</v>
      </c>
      <c r="D641" s="2">
        <v>1562.5</v>
      </c>
      <c r="E641" s="2">
        <v>1537.9</v>
      </c>
      <c r="F641" s="1">
        <v>2.8999999999999998E-3</v>
      </c>
      <c r="G641" s="2">
        <f t="shared" si="54"/>
        <v>2025</v>
      </c>
      <c r="H641" s="2" t="str">
        <f t="shared" si="55"/>
        <v>Jun</v>
      </c>
      <c r="I641" s="2">
        <f t="shared" si="56"/>
        <v>6</v>
      </c>
      <c r="J641" s="2" t="str">
        <f t="shared" si="57"/>
        <v>2025-06</v>
      </c>
      <c r="K641" s="2">
        <f t="shared" si="58"/>
        <v>24</v>
      </c>
      <c r="L641" s="2">
        <f ca="1">AVERAGE(OFFSET(USD_NGN_Historical_Data__17[[#This Row],[Rate]], -6, 0, 7, 1))</f>
        <v>1549.6664285714287</v>
      </c>
      <c r="M641" s="2" t="str">
        <f t="shared" si="59"/>
        <v>Fri</v>
      </c>
    </row>
    <row r="642" spans="1:13" x14ac:dyDescent="0.35">
      <c r="A642" s="4">
        <v>45824</v>
      </c>
      <c r="B642" s="2">
        <v>1543.49</v>
      </c>
      <c r="C642" s="2">
        <v>1548.6</v>
      </c>
      <c r="D642" s="2">
        <v>1558.8</v>
      </c>
      <c r="E642" s="2">
        <v>1541.375</v>
      </c>
      <c r="F642" s="1">
        <v>-8.9999999999999998E-4</v>
      </c>
      <c r="G642" s="2">
        <f t="shared" ref="G642:G705" si="60">YEAR(A642)</f>
        <v>2025</v>
      </c>
      <c r="H642" s="2" t="str">
        <f t="shared" ref="H642:H705" si="61">TEXT(A642,"mmm")</f>
        <v>Jun</v>
      </c>
      <c r="I642" s="2">
        <f t="shared" ref="I642:I705" si="62">MONTH(A642)</f>
        <v>6</v>
      </c>
      <c r="J642" s="2" t="str">
        <f t="shared" ref="J642:J705" si="63">TEXT(A642,"yyyy-mm")</f>
        <v>2025-06</v>
      </c>
      <c r="K642" s="2">
        <f t="shared" ref="K642:K705" si="64">WEEKNUM(A642)</f>
        <v>25</v>
      </c>
      <c r="L642" s="2">
        <f ca="1">AVERAGE(OFFSET(USD_NGN_Historical_Data__17[[#This Row],[Rate]], -6, 0, 7, 1))</f>
        <v>1547.472857142857</v>
      </c>
      <c r="M642" s="2" t="str">
        <f t="shared" ref="M642:M705" si="65">TEXT(A642, "ddd")</f>
        <v>Mon</v>
      </c>
    </row>
    <row r="643" spans="1:13" x14ac:dyDescent="0.35">
      <c r="A643" s="4">
        <v>45825</v>
      </c>
      <c r="B643" s="2">
        <v>1545.15</v>
      </c>
      <c r="C643" s="2">
        <v>1543.4849999999999</v>
      </c>
      <c r="D643" s="2">
        <v>1549.88</v>
      </c>
      <c r="E643" s="2">
        <v>1542.085</v>
      </c>
      <c r="F643" s="1">
        <v>1.1000000000000001E-3</v>
      </c>
      <c r="G643" s="2">
        <f t="shared" si="60"/>
        <v>2025</v>
      </c>
      <c r="H643" s="2" t="str">
        <f t="shared" si="61"/>
        <v>Jun</v>
      </c>
      <c r="I643" s="2">
        <f t="shared" si="62"/>
        <v>6</v>
      </c>
      <c r="J643" s="2" t="str">
        <f t="shared" si="63"/>
        <v>2025-06</v>
      </c>
      <c r="K643" s="2">
        <f t="shared" si="64"/>
        <v>25</v>
      </c>
      <c r="L643" s="2">
        <f ca="1">AVERAGE(OFFSET(USD_NGN_Historical_Data__17[[#This Row],[Rate]], -6, 0, 7, 1))</f>
        <v>1545.615</v>
      </c>
      <c r="M643" s="2" t="str">
        <f t="shared" si="65"/>
        <v>Tue</v>
      </c>
    </row>
    <row r="644" spans="1:13" x14ac:dyDescent="0.35">
      <c r="A644" s="4">
        <v>45826</v>
      </c>
      <c r="B644" s="2">
        <v>1546.94</v>
      </c>
      <c r="C644" s="2">
        <v>1543.17</v>
      </c>
      <c r="D644" s="2">
        <v>1549.9</v>
      </c>
      <c r="E644" s="2">
        <v>1542.375</v>
      </c>
      <c r="F644" s="1">
        <v>1.1999999999999999E-3</v>
      </c>
      <c r="G644" s="2">
        <f t="shared" si="60"/>
        <v>2025</v>
      </c>
      <c r="H644" s="2" t="str">
        <f t="shared" si="61"/>
        <v>Jun</v>
      </c>
      <c r="I644" s="2">
        <f t="shared" si="62"/>
        <v>6</v>
      </c>
      <c r="J644" s="2" t="str">
        <f t="shared" si="63"/>
        <v>2025-06</v>
      </c>
      <c r="K644" s="2">
        <f t="shared" si="64"/>
        <v>25</v>
      </c>
      <c r="L644" s="2">
        <f ca="1">AVERAGE(OFFSET(USD_NGN_Historical_Data__17[[#This Row],[Rate]], -6, 0, 7, 1))</f>
        <v>1544.0178571428571</v>
      </c>
      <c r="M644" s="2" t="str">
        <f t="shared" si="65"/>
        <v>Wed</v>
      </c>
    </row>
    <row r="645" spans="1:13" x14ac:dyDescent="0.35">
      <c r="A645" s="4">
        <v>45827</v>
      </c>
      <c r="B645" s="2">
        <v>1548.7950000000001</v>
      </c>
      <c r="C645" s="2">
        <v>1546.9449999999999</v>
      </c>
      <c r="D645" s="2">
        <v>1552.8050000000001</v>
      </c>
      <c r="E645" s="2">
        <v>1543.6949999999999</v>
      </c>
      <c r="F645" s="1">
        <v>1.1999999999999999E-3</v>
      </c>
      <c r="G645" s="2">
        <f t="shared" si="60"/>
        <v>2025</v>
      </c>
      <c r="H645" s="2" t="str">
        <f t="shared" si="61"/>
        <v>Jun</v>
      </c>
      <c r="I645" s="2">
        <f t="shared" si="62"/>
        <v>6</v>
      </c>
      <c r="J645" s="2" t="str">
        <f t="shared" si="63"/>
        <v>2025-06</v>
      </c>
      <c r="K645" s="2">
        <f t="shared" si="64"/>
        <v>25</v>
      </c>
      <c r="L645" s="2">
        <f ca="1">AVERAGE(OFFSET(USD_NGN_Historical_Data__17[[#This Row],[Rate]], -6, 0, 7, 1))</f>
        <v>1544.6757142857143</v>
      </c>
      <c r="M645" s="2" t="str">
        <f t="shared" si="65"/>
        <v>Thu</v>
      </c>
    </row>
    <row r="646" spans="1:13" x14ac:dyDescent="0.35">
      <c r="A646" s="4">
        <v>45828</v>
      </c>
      <c r="B646" s="2">
        <v>1548.61</v>
      </c>
      <c r="C646" s="2">
        <v>1548.8</v>
      </c>
      <c r="D646" s="2">
        <v>1554.2</v>
      </c>
      <c r="E646" s="2">
        <v>1545.29</v>
      </c>
      <c r="F646" s="1">
        <v>-1E-4</v>
      </c>
      <c r="G646" s="2">
        <f t="shared" si="60"/>
        <v>2025</v>
      </c>
      <c r="H646" s="2" t="str">
        <f t="shared" si="61"/>
        <v>Jun</v>
      </c>
      <c r="I646" s="2">
        <f t="shared" si="62"/>
        <v>6</v>
      </c>
      <c r="J646" s="2" t="str">
        <f t="shared" si="63"/>
        <v>2025-06</v>
      </c>
      <c r="K646" s="2">
        <f t="shared" si="64"/>
        <v>25</v>
      </c>
      <c r="L646" s="2">
        <f ca="1">AVERAGE(OFFSET(USD_NGN_Historical_Data__17[[#This Row],[Rate]], -6, 0, 7, 1))</f>
        <v>1545.4628571428573</v>
      </c>
      <c r="M646" s="2" t="str">
        <f t="shared" si="65"/>
        <v>Fri</v>
      </c>
    </row>
    <row r="647" spans="1:13" x14ac:dyDescent="0.35">
      <c r="A647" s="4">
        <v>45831</v>
      </c>
      <c r="B647" s="2">
        <v>1550.0150000000001</v>
      </c>
      <c r="C647" s="2">
        <v>1549.5</v>
      </c>
      <c r="D647" s="2">
        <v>1555.75</v>
      </c>
      <c r="E647" s="2">
        <v>1544.76</v>
      </c>
      <c r="F647" s="1">
        <v>8.9999999999999998E-4</v>
      </c>
      <c r="G647" s="2">
        <f t="shared" si="60"/>
        <v>2025</v>
      </c>
      <c r="H647" s="2" t="str">
        <f t="shared" si="61"/>
        <v>Jun</v>
      </c>
      <c r="I647" s="2">
        <f t="shared" si="62"/>
        <v>6</v>
      </c>
      <c r="J647" s="2" t="str">
        <f t="shared" si="63"/>
        <v>2025-06</v>
      </c>
      <c r="K647" s="2">
        <f t="shared" si="64"/>
        <v>26</v>
      </c>
      <c r="L647" s="2">
        <f ca="1">AVERAGE(OFFSET(USD_NGN_Historical_Data__17[[#This Row],[Rate]], -6, 0, 7, 1))</f>
        <v>1546.8392857142858</v>
      </c>
      <c r="M647" s="2" t="str">
        <f t="shared" si="65"/>
        <v>Mon</v>
      </c>
    </row>
    <row r="648" spans="1:13" x14ac:dyDescent="0.35">
      <c r="A648" s="4">
        <v>45832</v>
      </c>
      <c r="B648" s="2">
        <v>1548.905</v>
      </c>
      <c r="C648" s="2">
        <v>1547.04</v>
      </c>
      <c r="D648" s="2">
        <v>1553.27</v>
      </c>
      <c r="E648" s="2">
        <v>1544.85</v>
      </c>
      <c r="F648" s="1">
        <v>-6.9999999999999999E-4</v>
      </c>
      <c r="G648" s="2">
        <f t="shared" si="60"/>
        <v>2025</v>
      </c>
      <c r="H648" s="2" t="str">
        <f t="shared" si="61"/>
        <v>Jun</v>
      </c>
      <c r="I648" s="2">
        <f t="shared" si="62"/>
        <v>6</v>
      </c>
      <c r="J648" s="2" t="str">
        <f t="shared" si="63"/>
        <v>2025-06</v>
      </c>
      <c r="K648" s="2">
        <f t="shared" si="64"/>
        <v>26</v>
      </c>
      <c r="L648" s="2">
        <f ca="1">AVERAGE(OFFSET(USD_NGN_Historical_Data__17[[#This Row],[Rate]], -6, 0, 7, 1))</f>
        <v>1547.4150000000002</v>
      </c>
      <c r="M648" s="2" t="str">
        <f t="shared" si="65"/>
        <v>Tue</v>
      </c>
    </row>
    <row r="649" spans="1:13" x14ac:dyDescent="0.35">
      <c r="A649" s="4">
        <v>45833</v>
      </c>
      <c r="B649" s="2">
        <v>1549.88</v>
      </c>
      <c r="C649" s="2">
        <v>1548.53</v>
      </c>
      <c r="D649" s="2">
        <v>1552.52</v>
      </c>
      <c r="E649" s="2">
        <v>1544.85</v>
      </c>
      <c r="F649" s="1">
        <v>5.9999999999999995E-4</v>
      </c>
      <c r="G649" s="2">
        <f t="shared" si="60"/>
        <v>2025</v>
      </c>
      <c r="H649" s="2" t="str">
        <f t="shared" si="61"/>
        <v>Jun</v>
      </c>
      <c r="I649" s="2">
        <f t="shared" si="62"/>
        <v>6</v>
      </c>
      <c r="J649" s="2" t="str">
        <f t="shared" si="63"/>
        <v>2025-06</v>
      </c>
      <c r="K649" s="2">
        <f t="shared" si="64"/>
        <v>26</v>
      </c>
      <c r="L649" s="2">
        <f ca="1">AVERAGE(OFFSET(USD_NGN_Historical_Data__17[[#This Row],[Rate]], -6, 0, 7, 1))</f>
        <v>1548.3278571428575</v>
      </c>
      <c r="M649" s="2" t="str">
        <f t="shared" si="65"/>
        <v>Wed</v>
      </c>
    </row>
    <row r="650" spans="1:13" x14ac:dyDescent="0.35">
      <c r="A650" s="4">
        <v>45834</v>
      </c>
      <c r="B650" s="2">
        <v>1542.665</v>
      </c>
      <c r="C650" s="2">
        <v>1549.865</v>
      </c>
      <c r="D650" s="2">
        <v>1552.33</v>
      </c>
      <c r="E650" s="2">
        <v>1539.46</v>
      </c>
      <c r="F650" s="1">
        <v>-4.7000000000000002E-3</v>
      </c>
      <c r="G650" s="2">
        <f t="shared" si="60"/>
        <v>2025</v>
      </c>
      <c r="H650" s="2" t="str">
        <f t="shared" si="61"/>
        <v>Jun</v>
      </c>
      <c r="I650" s="2">
        <f t="shared" si="62"/>
        <v>6</v>
      </c>
      <c r="J650" s="2" t="str">
        <f t="shared" si="63"/>
        <v>2025-06</v>
      </c>
      <c r="K650" s="2">
        <f t="shared" si="64"/>
        <v>26</v>
      </c>
      <c r="L650" s="2">
        <f ca="1">AVERAGE(OFFSET(USD_NGN_Historical_Data__17[[#This Row],[Rate]], -6, 0, 7, 1))</f>
        <v>1547.9728571428573</v>
      </c>
      <c r="M650" s="2" t="str">
        <f t="shared" si="65"/>
        <v>Thu</v>
      </c>
    </row>
    <row r="651" spans="1:13" x14ac:dyDescent="0.35">
      <c r="A651" s="4">
        <v>45835</v>
      </c>
      <c r="B651" s="2">
        <v>1542.47</v>
      </c>
      <c r="C651" s="2">
        <v>1542.67</v>
      </c>
      <c r="D651" s="2">
        <v>1550.5</v>
      </c>
      <c r="E651" s="2">
        <v>1537.7449999999999</v>
      </c>
      <c r="F651" s="1">
        <v>-1E-4</v>
      </c>
      <c r="G651" s="2">
        <f t="shared" si="60"/>
        <v>2025</v>
      </c>
      <c r="H651" s="2" t="str">
        <f t="shared" si="61"/>
        <v>Jun</v>
      </c>
      <c r="I651" s="2">
        <f t="shared" si="62"/>
        <v>6</v>
      </c>
      <c r="J651" s="2" t="str">
        <f t="shared" si="63"/>
        <v>2025-06</v>
      </c>
      <c r="K651" s="2">
        <f t="shared" si="64"/>
        <v>26</v>
      </c>
      <c r="L651" s="2">
        <f ca="1">AVERAGE(OFFSET(USD_NGN_Historical_Data__17[[#This Row],[Rate]], -6, 0, 7, 1))</f>
        <v>1547.3342857142854</v>
      </c>
      <c r="M651" s="2" t="str">
        <f t="shared" si="65"/>
        <v>Fri</v>
      </c>
    </row>
    <row r="652" spans="1:13" x14ac:dyDescent="0.35">
      <c r="A652" s="4">
        <v>45838</v>
      </c>
      <c r="B652" s="2">
        <v>1536.375</v>
      </c>
      <c r="C652" s="2">
        <v>1543.5</v>
      </c>
      <c r="D652" s="2">
        <v>1545.5</v>
      </c>
      <c r="E652" s="2">
        <v>1528.675</v>
      </c>
      <c r="F652" s="1">
        <v>-4.0000000000000001E-3</v>
      </c>
      <c r="G652" s="2">
        <f t="shared" si="60"/>
        <v>2025</v>
      </c>
      <c r="H652" s="2" t="str">
        <f t="shared" si="61"/>
        <v>Jun</v>
      </c>
      <c r="I652" s="2">
        <f t="shared" si="62"/>
        <v>6</v>
      </c>
      <c r="J652" s="2" t="str">
        <f t="shared" si="63"/>
        <v>2025-06</v>
      </c>
      <c r="K652" s="2">
        <f t="shared" si="64"/>
        <v>27</v>
      </c>
      <c r="L652" s="2">
        <f ca="1">AVERAGE(OFFSET(USD_NGN_Historical_Data__17[[#This Row],[Rate]], -6, 0, 7, 1))</f>
        <v>1545.56</v>
      </c>
      <c r="M652" s="2" t="str">
        <f t="shared" si="65"/>
        <v>Mon</v>
      </c>
    </row>
    <row r="653" spans="1:13" x14ac:dyDescent="0.35">
      <c r="A653" s="4">
        <v>45839</v>
      </c>
      <c r="B653" s="2">
        <v>1534.08</v>
      </c>
      <c r="C653" s="2">
        <v>1545</v>
      </c>
      <c r="D653" s="2">
        <v>1545</v>
      </c>
      <c r="E653" s="2">
        <v>1530.05</v>
      </c>
      <c r="F653" s="1">
        <v>-1.5E-3</v>
      </c>
      <c r="G653" s="2">
        <f t="shared" si="60"/>
        <v>2025</v>
      </c>
      <c r="H653" s="2" t="str">
        <f t="shared" si="61"/>
        <v>Jul</v>
      </c>
      <c r="I653" s="2">
        <f t="shared" si="62"/>
        <v>7</v>
      </c>
      <c r="J653" s="2" t="str">
        <f t="shared" si="63"/>
        <v>2025-07</v>
      </c>
      <c r="K653" s="2">
        <f t="shared" si="64"/>
        <v>27</v>
      </c>
      <c r="L653" s="2">
        <f ca="1">AVERAGE(OFFSET(USD_NGN_Historical_Data__17[[#This Row],[Rate]], -6, 0, 7, 1))</f>
        <v>1543.484285714286</v>
      </c>
      <c r="M653" s="2" t="str">
        <f t="shared" si="65"/>
        <v>Tue</v>
      </c>
    </row>
    <row r="654" spans="1:13" x14ac:dyDescent="0.35">
      <c r="A654" s="4">
        <v>45840</v>
      </c>
      <c r="B654" s="2">
        <v>1531.9849999999999</v>
      </c>
      <c r="C654" s="2">
        <v>1534.08</v>
      </c>
      <c r="D654" s="2">
        <v>1536.48</v>
      </c>
      <c r="E654" s="2">
        <v>1524.835</v>
      </c>
      <c r="F654" s="1">
        <v>-1.4E-3</v>
      </c>
      <c r="G654" s="2">
        <f t="shared" si="60"/>
        <v>2025</v>
      </c>
      <c r="H654" s="2" t="str">
        <f t="shared" si="61"/>
        <v>Jul</v>
      </c>
      <c r="I654" s="2">
        <f t="shared" si="62"/>
        <v>7</v>
      </c>
      <c r="J654" s="2" t="str">
        <f t="shared" si="63"/>
        <v>2025-07</v>
      </c>
      <c r="K654" s="2">
        <f t="shared" si="64"/>
        <v>27</v>
      </c>
      <c r="L654" s="2">
        <f ca="1">AVERAGE(OFFSET(USD_NGN_Historical_Data__17[[#This Row],[Rate]], -6, 0, 7, 1))</f>
        <v>1540.9085714285716</v>
      </c>
      <c r="M654" s="2" t="str">
        <f t="shared" si="65"/>
        <v>Wed</v>
      </c>
    </row>
    <row r="655" spans="1:13" x14ac:dyDescent="0.35">
      <c r="A655" s="4">
        <v>45841</v>
      </c>
      <c r="B655" s="2">
        <v>1532.74</v>
      </c>
      <c r="C655" s="2">
        <v>1531.97</v>
      </c>
      <c r="D655" s="2">
        <v>1535</v>
      </c>
      <c r="E655" s="2">
        <v>1523.9349999999999</v>
      </c>
      <c r="F655" s="1">
        <v>5.0000000000000001E-4</v>
      </c>
      <c r="G655" s="2">
        <f t="shared" si="60"/>
        <v>2025</v>
      </c>
      <c r="H655" s="2" t="str">
        <f t="shared" si="61"/>
        <v>Jul</v>
      </c>
      <c r="I655" s="2">
        <f t="shared" si="62"/>
        <v>7</v>
      </c>
      <c r="J655" s="2" t="str">
        <f t="shared" si="63"/>
        <v>2025-07</v>
      </c>
      <c r="K655" s="2">
        <f t="shared" si="64"/>
        <v>27</v>
      </c>
      <c r="L655" s="2">
        <f ca="1">AVERAGE(OFFSET(USD_NGN_Historical_Data__17[[#This Row],[Rate]], -6, 0, 7, 1))</f>
        <v>1538.5992857142858</v>
      </c>
      <c r="M655" s="2" t="str">
        <f t="shared" si="65"/>
        <v>Thu</v>
      </c>
    </row>
    <row r="656" spans="1:13" x14ac:dyDescent="0.35">
      <c r="A656" s="4">
        <v>45842</v>
      </c>
      <c r="B656" s="2">
        <v>1530.2</v>
      </c>
      <c r="C656" s="2">
        <v>1533.0050000000001</v>
      </c>
      <c r="D656" s="2">
        <v>1533.17</v>
      </c>
      <c r="E656" s="2">
        <v>1524.8050000000001</v>
      </c>
      <c r="F656" s="1">
        <v>-1.6999999999999999E-3</v>
      </c>
      <c r="G656" s="2">
        <f t="shared" si="60"/>
        <v>2025</v>
      </c>
      <c r="H656" s="2" t="str">
        <f t="shared" si="61"/>
        <v>Jul</v>
      </c>
      <c r="I656" s="2">
        <f t="shared" si="62"/>
        <v>7</v>
      </c>
      <c r="J656" s="2" t="str">
        <f t="shared" si="63"/>
        <v>2025-07</v>
      </c>
      <c r="K656" s="2">
        <f t="shared" si="64"/>
        <v>27</v>
      </c>
      <c r="L656" s="2">
        <f ca="1">AVERAGE(OFFSET(USD_NGN_Historical_Data__17[[#This Row],[Rate]], -6, 0, 7, 1))</f>
        <v>1535.7878571428573</v>
      </c>
      <c r="M656" s="2" t="str">
        <f t="shared" si="65"/>
        <v>Fri</v>
      </c>
    </row>
    <row r="657" spans="1:13" x14ac:dyDescent="0.35">
      <c r="A657" s="4">
        <v>45845</v>
      </c>
      <c r="B657" s="2">
        <v>1533.845</v>
      </c>
      <c r="C657" s="2">
        <v>1527.5</v>
      </c>
      <c r="D657" s="2">
        <v>1535.115</v>
      </c>
      <c r="E657" s="2">
        <v>1524.97</v>
      </c>
      <c r="F657" s="1">
        <v>2.3999999999999998E-3</v>
      </c>
      <c r="G657" s="2">
        <f t="shared" si="60"/>
        <v>2025</v>
      </c>
      <c r="H657" s="2" t="str">
        <f t="shared" si="61"/>
        <v>Jul</v>
      </c>
      <c r="I657" s="2">
        <f t="shared" si="62"/>
        <v>7</v>
      </c>
      <c r="J657" s="2" t="str">
        <f t="shared" si="63"/>
        <v>2025-07</v>
      </c>
      <c r="K657" s="2">
        <f t="shared" si="64"/>
        <v>28</v>
      </c>
      <c r="L657" s="2">
        <f ca="1">AVERAGE(OFFSET(USD_NGN_Historical_Data__17[[#This Row],[Rate]], -6, 0, 7, 1))</f>
        <v>1534.5278571428571</v>
      </c>
      <c r="M657" s="2" t="str">
        <f t="shared" si="65"/>
        <v>Mon</v>
      </c>
    </row>
    <row r="658" spans="1:13" x14ac:dyDescent="0.35">
      <c r="A658" s="4">
        <v>45846</v>
      </c>
      <c r="B658" s="2">
        <v>1533.06</v>
      </c>
      <c r="C658" s="2">
        <v>1531.97</v>
      </c>
      <c r="D658" s="2">
        <v>1534.5450000000001</v>
      </c>
      <c r="E658" s="2">
        <v>1527.2349999999999</v>
      </c>
      <c r="F658" s="1">
        <v>-5.0000000000000001E-4</v>
      </c>
      <c r="G658" s="2">
        <f t="shared" si="60"/>
        <v>2025</v>
      </c>
      <c r="H658" s="2" t="str">
        <f t="shared" si="61"/>
        <v>Jul</v>
      </c>
      <c r="I658" s="2">
        <f t="shared" si="62"/>
        <v>7</v>
      </c>
      <c r="J658" s="2" t="str">
        <f t="shared" si="63"/>
        <v>2025-07</v>
      </c>
      <c r="K658" s="2">
        <f t="shared" si="64"/>
        <v>28</v>
      </c>
      <c r="L658" s="2">
        <f ca="1">AVERAGE(OFFSET(USD_NGN_Historical_Data__17[[#This Row],[Rate]], -6, 0, 7, 1))</f>
        <v>1533.1835714285712</v>
      </c>
      <c r="M658" s="2" t="str">
        <f t="shared" si="65"/>
        <v>Tue</v>
      </c>
    </row>
    <row r="659" spans="1:13" x14ac:dyDescent="0.35">
      <c r="A659" s="4">
        <v>45847</v>
      </c>
      <c r="B659" s="2">
        <v>1532.3150000000001</v>
      </c>
      <c r="C659" s="2">
        <v>1533.105</v>
      </c>
      <c r="D659" s="2">
        <v>1535.2850000000001</v>
      </c>
      <c r="E659" s="2">
        <v>1525.92</v>
      </c>
      <c r="F659" s="1">
        <v>-5.0000000000000001E-4</v>
      </c>
      <c r="G659" s="2">
        <f t="shared" si="60"/>
        <v>2025</v>
      </c>
      <c r="H659" s="2" t="str">
        <f t="shared" si="61"/>
        <v>Jul</v>
      </c>
      <c r="I659" s="2">
        <f t="shared" si="62"/>
        <v>7</v>
      </c>
      <c r="J659" s="2" t="str">
        <f t="shared" si="63"/>
        <v>2025-07</v>
      </c>
      <c r="K659" s="2">
        <f t="shared" si="64"/>
        <v>28</v>
      </c>
      <c r="L659" s="2">
        <f ca="1">AVERAGE(OFFSET(USD_NGN_Historical_Data__17[[#This Row],[Rate]], -6, 0, 7, 1))</f>
        <v>1532.6035714285715</v>
      </c>
      <c r="M659" s="2" t="str">
        <f t="shared" si="65"/>
        <v>Wed</v>
      </c>
    </row>
    <row r="660" spans="1:13" x14ac:dyDescent="0.35">
      <c r="A660" s="4">
        <v>45848</v>
      </c>
      <c r="B660" s="2">
        <v>1530.395</v>
      </c>
      <c r="C660" s="2">
        <v>1532.21</v>
      </c>
      <c r="D660" s="2">
        <v>1534.5</v>
      </c>
      <c r="E660" s="2">
        <v>1523.165</v>
      </c>
      <c r="F660" s="1">
        <v>-1.2999999999999999E-3</v>
      </c>
      <c r="G660" s="2">
        <f t="shared" si="60"/>
        <v>2025</v>
      </c>
      <c r="H660" s="2" t="str">
        <f t="shared" si="61"/>
        <v>Jul</v>
      </c>
      <c r="I660" s="2">
        <f t="shared" si="62"/>
        <v>7</v>
      </c>
      <c r="J660" s="2" t="str">
        <f t="shared" si="63"/>
        <v>2025-07</v>
      </c>
      <c r="K660" s="2">
        <f t="shared" si="64"/>
        <v>28</v>
      </c>
      <c r="L660" s="2">
        <f ca="1">AVERAGE(OFFSET(USD_NGN_Historical_Data__17[[#This Row],[Rate]], -6, 0, 7, 1))</f>
        <v>1532.0771428571429</v>
      </c>
      <c r="M660" s="2" t="str">
        <f t="shared" si="65"/>
        <v>Thu</v>
      </c>
    </row>
    <row r="661" spans="1:13" x14ac:dyDescent="0.35">
      <c r="A661" s="4">
        <v>45849</v>
      </c>
      <c r="B661" s="2">
        <v>1531.0350000000001</v>
      </c>
      <c r="C661" s="2">
        <v>1530.395</v>
      </c>
      <c r="D661" s="2">
        <v>1534.2750000000001</v>
      </c>
      <c r="E661" s="2">
        <v>1524.09</v>
      </c>
      <c r="F661" s="1">
        <v>4.0000000000000002E-4</v>
      </c>
      <c r="G661" s="2">
        <f t="shared" si="60"/>
        <v>2025</v>
      </c>
      <c r="H661" s="2" t="str">
        <f t="shared" si="61"/>
        <v>Jul</v>
      </c>
      <c r="I661" s="2">
        <f t="shared" si="62"/>
        <v>7</v>
      </c>
      <c r="J661" s="2" t="str">
        <f t="shared" si="63"/>
        <v>2025-07</v>
      </c>
      <c r="K661" s="2">
        <f t="shared" si="64"/>
        <v>28</v>
      </c>
      <c r="L661" s="2">
        <f ca="1">AVERAGE(OFFSET(USD_NGN_Historical_Data__17[[#This Row],[Rate]], -6, 0, 7, 1))</f>
        <v>1531.9414285714286</v>
      </c>
      <c r="M661" s="2" t="str">
        <f t="shared" si="65"/>
        <v>Fri</v>
      </c>
    </row>
    <row r="662" spans="1:13" x14ac:dyDescent="0.35">
      <c r="A662" s="4">
        <v>45852</v>
      </c>
      <c r="B662" s="2">
        <v>1528.86</v>
      </c>
      <c r="C662" s="2">
        <v>1528.5</v>
      </c>
      <c r="D662" s="2">
        <v>1533.9849999999999</v>
      </c>
      <c r="E662" s="2">
        <v>1525.59</v>
      </c>
      <c r="F662" s="1">
        <v>-1.4E-3</v>
      </c>
      <c r="G662" s="2">
        <f t="shared" si="60"/>
        <v>2025</v>
      </c>
      <c r="H662" s="2" t="str">
        <f t="shared" si="61"/>
        <v>Jul</v>
      </c>
      <c r="I662" s="2">
        <f t="shared" si="62"/>
        <v>7</v>
      </c>
      <c r="J662" s="2" t="str">
        <f t="shared" si="63"/>
        <v>2025-07</v>
      </c>
      <c r="K662" s="2">
        <f t="shared" si="64"/>
        <v>29</v>
      </c>
      <c r="L662" s="2">
        <f ca="1">AVERAGE(OFFSET(USD_NGN_Historical_Data__17[[#This Row],[Rate]], -6, 0, 7, 1))</f>
        <v>1531.3871428571431</v>
      </c>
      <c r="M662" s="2" t="str">
        <f t="shared" si="65"/>
        <v>Mon</v>
      </c>
    </row>
    <row r="663" spans="1:13" x14ac:dyDescent="0.35">
      <c r="A663" s="4">
        <v>45853</v>
      </c>
      <c r="B663" s="2">
        <v>1528.22</v>
      </c>
      <c r="C663" s="2">
        <v>1528.02</v>
      </c>
      <c r="D663" s="2">
        <v>1534.25</v>
      </c>
      <c r="E663" s="2">
        <v>1526.345</v>
      </c>
      <c r="F663" s="1">
        <v>-4.0000000000000002E-4</v>
      </c>
      <c r="G663" s="2">
        <f t="shared" si="60"/>
        <v>2025</v>
      </c>
      <c r="H663" s="2" t="str">
        <f t="shared" si="61"/>
        <v>Jul</v>
      </c>
      <c r="I663" s="2">
        <f t="shared" si="62"/>
        <v>7</v>
      </c>
      <c r="J663" s="2" t="str">
        <f t="shared" si="63"/>
        <v>2025-07</v>
      </c>
      <c r="K663" s="2">
        <f t="shared" si="64"/>
        <v>29</v>
      </c>
      <c r="L663" s="2">
        <f ca="1">AVERAGE(OFFSET(USD_NGN_Historical_Data__17[[#This Row],[Rate]], -6, 0, 7, 1))</f>
        <v>1531.1042857142857</v>
      </c>
      <c r="M663" s="2" t="str">
        <f t="shared" si="65"/>
        <v>Tue</v>
      </c>
    </row>
    <row r="664" spans="1:13" x14ac:dyDescent="0.35">
      <c r="A664" s="4">
        <v>45854</v>
      </c>
      <c r="B664" s="2">
        <v>1530.1949999999999</v>
      </c>
      <c r="C664" s="2">
        <v>1527.9349999999999</v>
      </c>
      <c r="D664" s="2">
        <v>1531.165</v>
      </c>
      <c r="E664" s="2">
        <v>1524.2850000000001</v>
      </c>
      <c r="F664" s="1">
        <v>1.2999999999999999E-3</v>
      </c>
      <c r="G664" s="2">
        <f t="shared" si="60"/>
        <v>2025</v>
      </c>
      <c r="H664" s="2" t="str">
        <f t="shared" si="61"/>
        <v>Jul</v>
      </c>
      <c r="I664" s="2">
        <f t="shared" si="62"/>
        <v>7</v>
      </c>
      <c r="J664" s="2" t="str">
        <f t="shared" si="63"/>
        <v>2025-07</v>
      </c>
      <c r="K664" s="2">
        <f t="shared" si="64"/>
        <v>29</v>
      </c>
      <c r="L664" s="2">
        <f ca="1">AVERAGE(OFFSET(USD_NGN_Historical_Data__17[[#This Row],[Rate]], -6, 0, 7, 1))</f>
        <v>1530.5828571428572</v>
      </c>
      <c r="M664" s="2" t="str">
        <f t="shared" si="65"/>
        <v>Wed</v>
      </c>
    </row>
    <row r="665" spans="1:13" x14ac:dyDescent="0.35">
      <c r="A665" s="4">
        <v>45855</v>
      </c>
      <c r="B665" s="2">
        <v>1527.51</v>
      </c>
      <c r="C665" s="2">
        <v>1530.1949999999999</v>
      </c>
      <c r="D665" s="2">
        <v>1532.81</v>
      </c>
      <c r="E665" s="2">
        <v>1525.16</v>
      </c>
      <c r="F665" s="1">
        <v>-1.8E-3</v>
      </c>
      <c r="G665" s="2">
        <f t="shared" si="60"/>
        <v>2025</v>
      </c>
      <c r="H665" s="2" t="str">
        <f t="shared" si="61"/>
        <v>Jul</v>
      </c>
      <c r="I665" s="2">
        <f t="shared" si="62"/>
        <v>7</v>
      </c>
      <c r="J665" s="2" t="str">
        <f t="shared" si="63"/>
        <v>2025-07</v>
      </c>
      <c r="K665" s="2">
        <f t="shared" si="64"/>
        <v>29</v>
      </c>
      <c r="L665" s="2">
        <f ca="1">AVERAGE(OFFSET(USD_NGN_Historical_Data__17[[#This Row],[Rate]], -6, 0, 7, 1))</f>
        <v>1529.7900000000002</v>
      </c>
      <c r="M665" s="2" t="str">
        <f t="shared" si="65"/>
        <v>Thu</v>
      </c>
    </row>
    <row r="666" spans="1:13" x14ac:dyDescent="0.35">
      <c r="A666" s="4">
        <v>45856</v>
      </c>
      <c r="B666" s="2">
        <v>1531.93</v>
      </c>
      <c r="C666" s="2">
        <v>1533.31</v>
      </c>
      <c r="D666" s="2">
        <v>1535.3150000000001</v>
      </c>
      <c r="E666" s="2">
        <v>1526.44</v>
      </c>
      <c r="F666" s="1">
        <v>2.8999999999999998E-3</v>
      </c>
      <c r="G666" s="2">
        <f t="shared" si="60"/>
        <v>2025</v>
      </c>
      <c r="H666" s="2" t="str">
        <f t="shared" si="61"/>
        <v>Jul</v>
      </c>
      <c r="I666" s="2">
        <f t="shared" si="62"/>
        <v>7</v>
      </c>
      <c r="J666" s="2" t="str">
        <f t="shared" si="63"/>
        <v>2025-07</v>
      </c>
      <c r="K666" s="2">
        <f t="shared" si="64"/>
        <v>29</v>
      </c>
      <c r="L666" s="2">
        <f ca="1">AVERAGE(OFFSET(USD_NGN_Historical_Data__17[[#This Row],[Rate]], -6, 0, 7, 1))</f>
        <v>1529.7350000000001</v>
      </c>
      <c r="M666" s="2" t="str">
        <f t="shared" si="65"/>
        <v>Fri</v>
      </c>
    </row>
    <row r="667" spans="1:13" x14ac:dyDescent="0.35">
      <c r="A667" s="4">
        <v>45859</v>
      </c>
      <c r="B667" s="2">
        <v>1529.97</v>
      </c>
      <c r="C667" s="2">
        <v>1528.95</v>
      </c>
      <c r="D667" s="2">
        <v>1537.06</v>
      </c>
      <c r="E667" s="2">
        <v>1527.4749999999999</v>
      </c>
      <c r="F667" s="1">
        <v>-1.2999999999999999E-3</v>
      </c>
      <c r="G667" s="2">
        <f t="shared" si="60"/>
        <v>2025</v>
      </c>
      <c r="H667" s="2" t="str">
        <f t="shared" si="61"/>
        <v>Jul</v>
      </c>
      <c r="I667" s="2">
        <f t="shared" si="62"/>
        <v>7</v>
      </c>
      <c r="J667" s="2" t="str">
        <f t="shared" si="63"/>
        <v>2025-07</v>
      </c>
      <c r="K667" s="2">
        <f t="shared" si="64"/>
        <v>30</v>
      </c>
      <c r="L667" s="2">
        <f ca="1">AVERAGE(OFFSET(USD_NGN_Historical_Data__17[[#This Row],[Rate]], -6, 0, 7, 1))</f>
        <v>1529.6742857142856</v>
      </c>
      <c r="M667" s="2" t="str">
        <f t="shared" si="65"/>
        <v>Mon</v>
      </c>
    </row>
    <row r="668" spans="1:13" x14ac:dyDescent="0.35">
      <c r="A668" s="4">
        <v>45860</v>
      </c>
      <c r="B668" s="2">
        <v>1531.585</v>
      </c>
      <c r="C668" s="2">
        <v>1531.7850000000001</v>
      </c>
      <c r="D668" s="2">
        <v>1536.2049999999999</v>
      </c>
      <c r="E668" s="2">
        <v>1526.5250000000001</v>
      </c>
      <c r="F668" s="1">
        <v>1.1000000000000001E-3</v>
      </c>
      <c r="G668" s="2">
        <f t="shared" si="60"/>
        <v>2025</v>
      </c>
      <c r="H668" s="2" t="str">
        <f t="shared" si="61"/>
        <v>Jul</v>
      </c>
      <c r="I668" s="2">
        <f t="shared" si="62"/>
        <v>7</v>
      </c>
      <c r="J668" s="2" t="str">
        <f t="shared" si="63"/>
        <v>2025-07</v>
      </c>
      <c r="K668" s="2">
        <f t="shared" si="64"/>
        <v>30</v>
      </c>
      <c r="L668" s="2">
        <f ca="1">AVERAGE(OFFSET(USD_NGN_Historical_Data__17[[#This Row],[Rate]], -6, 0, 7, 1))</f>
        <v>1529.7528571428572</v>
      </c>
      <c r="M668" s="2" t="str">
        <f t="shared" si="65"/>
        <v>Tue</v>
      </c>
    </row>
    <row r="669" spans="1:13" x14ac:dyDescent="0.35">
      <c r="A669" s="4">
        <v>45861</v>
      </c>
      <c r="B669" s="2">
        <v>1533.165</v>
      </c>
      <c r="C669" s="2">
        <v>1527.05</v>
      </c>
      <c r="D669" s="2">
        <v>1535.24</v>
      </c>
      <c r="E669" s="2">
        <v>1526.085</v>
      </c>
      <c r="F669" s="1">
        <v>1E-3</v>
      </c>
      <c r="G669" s="2">
        <f t="shared" si="60"/>
        <v>2025</v>
      </c>
      <c r="H669" s="2" t="str">
        <f t="shared" si="61"/>
        <v>Jul</v>
      </c>
      <c r="I669" s="2">
        <f t="shared" si="62"/>
        <v>7</v>
      </c>
      <c r="J669" s="2" t="str">
        <f t="shared" si="63"/>
        <v>2025-07</v>
      </c>
      <c r="K669" s="2">
        <f t="shared" si="64"/>
        <v>30</v>
      </c>
      <c r="L669" s="2">
        <f ca="1">AVERAGE(OFFSET(USD_NGN_Historical_Data__17[[#This Row],[Rate]], -6, 0, 7, 1))</f>
        <v>1530.3678571428572</v>
      </c>
      <c r="M669" s="2" t="str">
        <f t="shared" si="65"/>
        <v>Wed</v>
      </c>
    </row>
    <row r="670" spans="1:13" x14ac:dyDescent="0.35">
      <c r="A670" s="4">
        <v>45862</v>
      </c>
      <c r="B670" s="2">
        <v>1532.1949999999999</v>
      </c>
      <c r="C670" s="2">
        <v>1533.1949999999999</v>
      </c>
      <c r="D670" s="2">
        <v>1535.5550000000001</v>
      </c>
      <c r="E670" s="2">
        <v>1523</v>
      </c>
      <c r="F670" s="1">
        <v>-5.9999999999999995E-4</v>
      </c>
      <c r="G670" s="2">
        <f t="shared" si="60"/>
        <v>2025</v>
      </c>
      <c r="H670" s="2" t="str">
        <f t="shared" si="61"/>
        <v>Jul</v>
      </c>
      <c r="I670" s="2">
        <f t="shared" si="62"/>
        <v>7</v>
      </c>
      <c r="J670" s="2" t="str">
        <f t="shared" si="63"/>
        <v>2025-07</v>
      </c>
      <c r="K670" s="2">
        <f t="shared" si="64"/>
        <v>30</v>
      </c>
      <c r="L670" s="2">
        <f ca="1">AVERAGE(OFFSET(USD_NGN_Historical_Data__17[[#This Row],[Rate]], -6, 0, 7, 1))</f>
        <v>1530.9357142857141</v>
      </c>
      <c r="M670" s="2" t="str">
        <f t="shared" si="65"/>
        <v>Thu</v>
      </c>
    </row>
    <row r="671" spans="1:13" x14ac:dyDescent="0.35">
      <c r="A671" s="4">
        <v>45863</v>
      </c>
      <c r="B671" s="2">
        <v>1532.655</v>
      </c>
      <c r="C671" s="2">
        <v>1532.96</v>
      </c>
      <c r="D671" s="2">
        <v>1534.385</v>
      </c>
      <c r="E671" s="2">
        <v>1527.5050000000001</v>
      </c>
      <c r="F671" s="1">
        <v>2.9999999999999997E-4</v>
      </c>
      <c r="G671" s="2">
        <f t="shared" si="60"/>
        <v>2025</v>
      </c>
      <c r="H671" s="2" t="str">
        <f t="shared" si="61"/>
        <v>Jul</v>
      </c>
      <c r="I671" s="2">
        <f t="shared" si="62"/>
        <v>7</v>
      </c>
      <c r="J671" s="2" t="str">
        <f t="shared" si="63"/>
        <v>2025-07</v>
      </c>
      <c r="K671" s="2">
        <f t="shared" si="64"/>
        <v>30</v>
      </c>
      <c r="L671" s="2">
        <f ca="1">AVERAGE(OFFSET(USD_NGN_Historical_Data__17[[#This Row],[Rate]], -6, 0, 7, 1))</f>
        <v>1531.287142857143</v>
      </c>
      <c r="M671" s="2" t="str">
        <f t="shared" si="65"/>
        <v>Fri</v>
      </c>
    </row>
    <row r="672" spans="1:13" x14ac:dyDescent="0.35">
      <c r="A672" s="4">
        <v>45866</v>
      </c>
      <c r="B672" s="2">
        <v>1530.7650000000001</v>
      </c>
      <c r="C672" s="2">
        <v>1528</v>
      </c>
      <c r="D672" s="2">
        <v>1534.0250000000001</v>
      </c>
      <c r="E672" s="2">
        <v>1525.375</v>
      </c>
      <c r="F672" s="1">
        <v>-1.1999999999999999E-3</v>
      </c>
      <c r="G672" s="2">
        <f t="shared" si="60"/>
        <v>2025</v>
      </c>
      <c r="H672" s="2" t="str">
        <f t="shared" si="61"/>
        <v>Jul</v>
      </c>
      <c r="I672" s="2">
        <f t="shared" si="62"/>
        <v>7</v>
      </c>
      <c r="J672" s="2" t="str">
        <f t="shared" si="63"/>
        <v>2025-07</v>
      </c>
      <c r="K672" s="2">
        <f t="shared" si="64"/>
        <v>31</v>
      </c>
      <c r="L672" s="2">
        <f ca="1">AVERAGE(OFFSET(USD_NGN_Historical_Data__17[[#This Row],[Rate]], -6, 0, 7, 1))</f>
        <v>1531.7521428571429</v>
      </c>
      <c r="M672" s="2" t="str">
        <f t="shared" si="65"/>
        <v>Mon</v>
      </c>
    </row>
    <row r="673" spans="1:13" x14ac:dyDescent="0.35">
      <c r="A673" s="4">
        <v>45867</v>
      </c>
      <c r="B673" s="2">
        <v>1533</v>
      </c>
      <c r="C673" s="2">
        <v>1530.77</v>
      </c>
      <c r="D673" s="2">
        <v>1535.075</v>
      </c>
      <c r="E673" s="2">
        <v>1528.51</v>
      </c>
      <c r="F673" s="1">
        <v>1.5E-3</v>
      </c>
      <c r="G673" s="2">
        <f t="shared" si="60"/>
        <v>2025</v>
      </c>
      <c r="H673" s="2" t="str">
        <f t="shared" si="61"/>
        <v>Jul</v>
      </c>
      <c r="I673" s="2">
        <f t="shared" si="62"/>
        <v>7</v>
      </c>
      <c r="J673" s="2" t="str">
        <f t="shared" si="63"/>
        <v>2025-07</v>
      </c>
      <c r="K673" s="2">
        <f t="shared" si="64"/>
        <v>31</v>
      </c>
      <c r="L673" s="2">
        <f ca="1">AVERAGE(OFFSET(USD_NGN_Historical_Data__17[[#This Row],[Rate]], -6, 0, 7, 1))</f>
        <v>1531.905</v>
      </c>
      <c r="M673" s="2" t="str">
        <f t="shared" si="65"/>
        <v>Tue</v>
      </c>
    </row>
    <row r="674" spans="1:13" x14ac:dyDescent="0.35">
      <c r="A674" s="4">
        <v>45868</v>
      </c>
      <c r="B674" s="2">
        <v>1530.35</v>
      </c>
      <c r="C674" s="2">
        <v>1532.12</v>
      </c>
      <c r="D674" s="2">
        <v>1536.08</v>
      </c>
      <c r="E674" s="2">
        <v>1529.105</v>
      </c>
      <c r="F674" s="1">
        <v>-1.6999999999999999E-3</v>
      </c>
      <c r="G674" s="2">
        <f t="shared" si="60"/>
        <v>2025</v>
      </c>
      <c r="H674" s="2" t="str">
        <f t="shared" si="61"/>
        <v>Jul</v>
      </c>
      <c r="I674" s="2">
        <f t="shared" si="62"/>
        <v>7</v>
      </c>
      <c r="J674" s="2" t="str">
        <f t="shared" si="63"/>
        <v>2025-07</v>
      </c>
      <c r="K674" s="2">
        <f t="shared" si="64"/>
        <v>31</v>
      </c>
      <c r="L674" s="2">
        <f ca="1">AVERAGE(OFFSET(USD_NGN_Historical_Data__17[[#This Row],[Rate]], -6, 0, 7, 1))</f>
        <v>1531.9592857142857</v>
      </c>
      <c r="M674" s="2" t="str">
        <f t="shared" si="65"/>
        <v>Wed</v>
      </c>
    </row>
    <row r="675" spans="1:13" x14ac:dyDescent="0.35">
      <c r="A675" s="4">
        <v>45869</v>
      </c>
      <c r="B675" s="2">
        <v>1530.895</v>
      </c>
      <c r="C675" s="2">
        <v>1531.7650000000001</v>
      </c>
      <c r="D675" s="2">
        <v>1534.41</v>
      </c>
      <c r="E675" s="2">
        <v>1529</v>
      </c>
      <c r="F675" s="1">
        <v>4.0000000000000002E-4</v>
      </c>
      <c r="G675" s="2">
        <f t="shared" si="60"/>
        <v>2025</v>
      </c>
      <c r="H675" s="2" t="str">
        <f t="shared" si="61"/>
        <v>Jul</v>
      </c>
      <c r="I675" s="2">
        <f t="shared" si="62"/>
        <v>7</v>
      </c>
      <c r="J675" s="2" t="str">
        <f t="shared" si="63"/>
        <v>2025-07</v>
      </c>
      <c r="K675" s="2">
        <f t="shared" si="64"/>
        <v>31</v>
      </c>
      <c r="L675" s="2">
        <f ca="1">AVERAGE(OFFSET(USD_NGN_Historical_Data__17[[#This Row],[Rate]], -6, 0, 7, 1))</f>
        <v>1531.8607142857143</v>
      </c>
      <c r="M675" s="2" t="str">
        <f t="shared" si="65"/>
        <v>Thu</v>
      </c>
    </row>
    <row r="676" spans="1:13" x14ac:dyDescent="0.35">
      <c r="A676" s="4">
        <v>45870</v>
      </c>
      <c r="B676" s="2">
        <v>1532.9649999999999</v>
      </c>
      <c r="C676" s="2">
        <v>1530.89</v>
      </c>
      <c r="D676" s="2">
        <v>1534.94</v>
      </c>
      <c r="E676" s="2">
        <v>1528.0050000000001</v>
      </c>
      <c r="F676" s="1">
        <v>1.4E-3</v>
      </c>
      <c r="G676" s="2">
        <f t="shared" si="60"/>
        <v>2025</v>
      </c>
      <c r="H676" s="2" t="str">
        <f t="shared" si="61"/>
        <v>Aug</v>
      </c>
      <c r="I676" s="2">
        <f t="shared" si="62"/>
        <v>8</v>
      </c>
      <c r="J676" s="2" t="str">
        <f t="shared" si="63"/>
        <v>2025-08</v>
      </c>
      <c r="K676" s="2">
        <f t="shared" si="64"/>
        <v>31</v>
      </c>
      <c r="L676" s="2">
        <f ca="1">AVERAGE(OFFSET(USD_NGN_Historical_Data__17[[#This Row],[Rate]], -6, 0, 7, 1))</f>
        <v>1531.832142857143</v>
      </c>
      <c r="M676" s="2" t="str">
        <f t="shared" si="65"/>
        <v>Fri</v>
      </c>
    </row>
    <row r="677" spans="1:13" x14ac:dyDescent="0.35">
      <c r="A677" s="4">
        <v>45873</v>
      </c>
      <c r="B677" s="2">
        <v>1525.6</v>
      </c>
      <c r="C677" s="2">
        <v>1519</v>
      </c>
      <c r="D677" s="2">
        <v>1535.3</v>
      </c>
      <c r="E677" s="2">
        <v>1509</v>
      </c>
      <c r="F677" s="1">
        <v>-4.7999999999999996E-3</v>
      </c>
      <c r="G677" s="2">
        <f t="shared" si="60"/>
        <v>2025</v>
      </c>
      <c r="H677" s="2" t="str">
        <f t="shared" si="61"/>
        <v>Aug</v>
      </c>
      <c r="I677" s="2">
        <f t="shared" si="62"/>
        <v>8</v>
      </c>
      <c r="J677" s="2" t="str">
        <f t="shared" si="63"/>
        <v>2025-08</v>
      </c>
      <c r="K677" s="2">
        <f t="shared" si="64"/>
        <v>32</v>
      </c>
      <c r="L677" s="2">
        <f ca="1">AVERAGE(OFFSET(USD_NGN_Historical_Data__17[[#This Row],[Rate]], -6, 0, 7, 1))</f>
        <v>1530.89</v>
      </c>
      <c r="M677" s="2" t="str">
        <f t="shared" si="65"/>
        <v>Mon</v>
      </c>
    </row>
    <row r="678" spans="1:13" x14ac:dyDescent="0.35">
      <c r="A678" s="4">
        <v>45874</v>
      </c>
      <c r="B678" s="2">
        <v>1526.3150000000001</v>
      </c>
      <c r="C678" s="2">
        <v>1524.67</v>
      </c>
      <c r="D678" s="2">
        <v>1534.42</v>
      </c>
      <c r="E678" s="2">
        <v>1519.2650000000001</v>
      </c>
      <c r="F678" s="1">
        <v>5.0000000000000001E-4</v>
      </c>
      <c r="G678" s="2">
        <f t="shared" si="60"/>
        <v>2025</v>
      </c>
      <c r="H678" s="2" t="str">
        <f t="shared" si="61"/>
        <v>Aug</v>
      </c>
      <c r="I678" s="2">
        <f t="shared" si="62"/>
        <v>8</v>
      </c>
      <c r="J678" s="2" t="str">
        <f t="shared" si="63"/>
        <v>2025-08</v>
      </c>
      <c r="K678" s="2">
        <f t="shared" si="64"/>
        <v>32</v>
      </c>
      <c r="L678" s="2">
        <f ca="1">AVERAGE(OFFSET(USD_NGN_Historical_Data__17[[#This Row],[Rate]], -6, 0, 7, 1))</f>
        <v>1529.984285714286</v>
      </c>
      <c r="M678" s="2" t="str">
        <f t="shared" si="65"/>
        <v>Tue</v>
      </c>
    </row>
    <row r="679" spans="1:13" x14ac:dyDescent="0.35">
      <c r="A679" s="4">
        <v>45875</v>
      </c>
      <c r="B679" s="2">
        <v>1531.2</v>
      </c>
      <c r="C679" s="2">
        <v>1532.26</v>
      </c>
      <c r="D679" s="2">
        <v>1534.2049999999999</v>
      </c>
      <c r="E679" s="2">
        <v>1525.08</v>
      </c>
      <c r="F679" s="1">
        <v>3.2000000000000002E-3</v>
      </c>
      <c r="G679" s="2">
        <f t="shared" si="60"/>
        <v>2025</v>
      </c>
      <c r="H679" s="2" t="str">
        <f t="shared" si="61"/>
        <v>Aug</v>
      </c>
      <c r="I679" s="2">
        <f t="shared" si="62"/>
        <v>8</v>
      </c>
      <c r="J679" s="2" t="str">
        <f t="shared" si="63"/>
        <v>2025-08</v>
      </c>
      <c r="K679" s="2">
        <f t="shared" si="64"/>
        <v>32</v>
      </c>
      <c r="L679" s="2">
        <f ca="1">AVERAGE(OFFSET(USD_NGN_Historical_Data__17[[#This Row],[Rate]], -6, 0, 7, 1))</f>
        <v>1530.0464285714286</v>
      </c>
      <c r="M679" s="2" t="str">
        <f t="shared" si="65"/>
        <v>Wed</v>
      </c>
    </row>
    <row r="680" spans="1:13" x14ac:dyDescent="0.35">
      <c r="A680" s="4">
        <v>45876</v>
      </c>
      <c r="B680" s="2">
        <v>1534.4649999999999</v>
      </c>
      <c r="C680" s="2">
        <v>1530</v>
      </c>
      <c r="D680" s="2">
        <v>1536.2049999999999</v>
      </c>
      <c r="E680" s="2">
        <v>1524.875</v>
      </c>
      <c r="F680" s="1">
        <v>2.0999999999999999E-3</v>
      </c>
      <c r="G680" s="2">
        <f t="shared" si="60"/>
        <v>2025</v>
      </c>
      <c r="H680" s="2" t="str">
        <f t="shared" si="61"/>
        <v>Aug</v>
      </c>
      <c r="I680" s="2">
        <f t="shared" si="62"/>
        <v>8</v>
      </c>
      <c r="J680" s="2" t="str">
        <f t="shared" si="63"/>
        <v>2025-08</v>
      </c>
      <c r="K680" s="2">
        <f t="shared" si="64"/>
        <v>32</v>
      </c>
      <c r="L680" s="2">
        <f ca="1">AVERAGE(OFFSET(USD_NGN_Historical_Data__17[[#This Row],[Rate]], -6, 0, 7, 1))</f>
        <v>1530.2557142857145</v>
      </c>
      <c r="M680" s="2" t="str">
        <f t="shared" si="65"/>
        <v>Thu</v>
      </c>
    </row>
    <row r="681" spans="1:13" x14ac:dyDescent="0.35">
      <c r="A681" s="4">
        <v>45877</v>
      </c>
      <c r="B681" s="2">
        <v>1532.7049999999999</v>
      </c>
      <c r="C681" s="2">
        <v>1534.44</v>
      </c>
      <c r="D681" s="2">
        <v>1535.4549999999999</v>
      </c>
      <c r="E681" s="2">
        <v>1529.395</v>
      </c>
      <c r="F681" s="1">
        <v>-1.1000000000000001E-3</v>
      </c>
      <c r="G681" s="2">
        <f t="shared" si="60"/>
        <v>2025</v>
      </c>
      <c r="H681" s="2" t="str">
        <f t="shared" si="61"/>
        <v>Aug</v>
      </c>
      <c r="I681" s="2">
        <f t="shared" si="62"/>
        <v>8</v>
      </c>
      <c r="J681" s="2" t="str">
        <f t="shared" si="63"/>
        <v>2025-08</v>
      </c>
      <c r="K681" s="2">
        <f t="shared" si="64"/>
        <v>32</v>
      </c>
      <c r="L681" s="2">
        <f ca="1">AVERAGE(OFFSET(USD_NGN_Historical_Data__17[[#This Row],[Rate]], -6, 0, 7, 1))</f>
        <v>1530.5921428571426</v>
      </c>
      <c r="M681" s="2" t="str">
        <f t="shared" si="65"/>
        <v>Fri</v>
      </c>
    </row>
    <row r="682" spans="1:13" x14ac:dyDescent="0.35">
      <c r="A682" s="4">
        <v>45880</v>
      </c>
      <c r="B682" s="2">
        <v>1536.13</v>
      </c>
      <c r="C682" s="2">
        <v>1532</v>
      </c>
      <c r="D682" s="2">
        <v>1536.69</v>
      </c>
      <c r="E682" s="2">
        <v>1530.03</v>
      </c>
      <c r="F682" s="1">
        <v>2.2000000000000001E-3</v>
      </c>
      <c r="G682" s="2">
        <f t="shared" si="60"/>
        <v>2025</v>
      </c>
      <c r="H682" s="2" t="str">
        <f t="shared" si="61"/>
        <v>Aug</v>
      </c>
      <c r="I682" s="2">
        <f t="shared" si="62"/>
        <v>8</v>
      </c>
      <c r="J682" s="2" t="str">
        <f t="shared" si="63"/>
        <v>2025-08</v>
      </c>
      <c r="K682" s="2">
        <f t="shared" si="64"/>
        <v>33</v>
      </c>
      <c r="L682" s="2">
        <f ca="1">AVERAGE(OFFSET(USD_NGN_Historical_Data__17[[#This Row],[Rate]], -6, 0, 7, 1))</f>
        <v>1531.3400000000001</v>
      </c>
      <c r="M682" s="2" t="str">
        <f t="shared" si="65"/>
        <v>Mon</v>
      </c>
    </row>
    <row r="683" spans="1:13" x14ac:dyDescent="0.35">
      <c r="A683" s="4">
        <v>45881</v>
      </c>
      <c r="B683" s="2">
        <v>1536.2049999999999</v>
      </c>
      <c r="C683" s="2">
        <v>1536.145</v>
      </c>
      <c r="D683" s="2">
        <v>1538.0550000000001</v>
      </c>
      <c r="E683" s="2">
        <v>1533.855</v>
      </c>
      <c r="F683" s="1">
        <v>0</v>
      </c>
      <c r="G683" s="2">
        <f t="shared" si="60"/>
        <v>2025</v>
      </c>
      <c r="H683" s="2" t="str">
        <f t="shared" si="61"/>
        <v>Aug</v>
      </c>
      <c r="I683" s="2">
        <f t="shared" si="62"/>
        <v>8</v>
      </c>
      <c r="J683" s="2" t="str">
        <f t="shared" si="63"/>
        <v>2025-08</v>
      </c>
      <c r="K683" s="2">
        <f t="shared" si="64"/>
        <v>33</v>
      </c>
      <c r="L683" s="2">
        <f ca="1">AVERAGE(OFFSET(USD_NGN_Historical_Data__17[[#This Row],[Rate]], -6, 0, 7, 1))</f>
        <v>1531.8028571428572</v>
      </c>
      <c r="M683" s="2" t="str">
        <f t="shared" si="65"/>
        <v>Tue</v>
      </c>
    </row>
    <row r="684" spans="1:13" x14ac:dyDescent="0.35">
      <c r="A684" s="4">
        <v>45882</v>
      </c>
      <c r="B684" s="2">
        <v>1531.8</v>
      </c>
      <c r="C684" s="2">
        <v>1534</v>
      </c>
      <c r="D684" s="2">
        <v>1537.5650000000001</v>
      </c>
      <c r="E684" s="2">
        <v>1531.625</v>
      </c>
      <c r="F684" s="1">
        <v>-2.8999999999999998E-3</v>
      </c>
      <c r="G684" s="2">
        <f t="shared" si="60"/>
        <v>2025</v>
      </c>
      <c r="H684" s="2" t="str">
        <f t="shared" si="61"/>
        <v>Aug</v>
      </c>
      <c r="I684" s="2">
        <f t="shared" si="62"/>
        <v>8</v>
      </c>
      <c r="J684" s="2" t="str">
        <f t="shared" si="63"/>
        <v>2025-08</v>
      </c>
      <c r="K684" s="2">
        <f t="shared" si="64"/>
        <v>33</v>
      </c>
      <c r="L684" s="2">
        <f ca="1">AVERAGE(OFFSET(USD_NGN_Historical_Data__17[[#This Row],[Rate]], -6, 0, 7, 1))</f>
        <v>1532.6885714285713</v>
      </c>
      <c r="M684" s="2" t="str">
        <f t="shared" si="65"/>
        <v>Wed</v>
      </c>
    </row>
    <row r="685" spans="1:13" x14ac:dyDescent="0.35">
      <c r="A685" s="4">
        <v>45883</v>
      </c>
      <c r="B685" s="2">
        <v>1531.28</v>
      </c>
      <c r="C685" s="2">
        <v>1531.8</v>
      </c>
      <c r="D685" s="2">
        <v>1536.2</v>
      </c>
      <c r="E685" s="2">
        <v>1531.28</v>
      </c>
      <c r="F685" s="1">
        <v>-2.9999999999999997E-4</v>
      </c>
      <c r="G685" s="2">
        <f t="shared" si="60"/>
        <v>2025</v>
      </c>
      <c r="H685" s="2" t="str">
        <f t="shared" si="61"/>
        <v>Aug</v>
      </c>
      <c r="I685" s="2">
        <f t="shared" si="62"/>
        <v>8</v>
      </c>
      <c r="J685" s="2" t="str">
        <f t="shared" si="63"/>
        <v>2025-08</v>
      </c>
      <c r="K685" s="2">
        <f t="shared" si="64"/>
        <v>33</v>
      </c>
      <c r="L685" s="2">
        <f ca="1">AVERAGE(OFFSET(USD_NGN_Historical_Data__17[[#This Row],[Rate]], -6, 0, 7, 1))</f>
        <v>1533.3978571428572</v>
      </c>
      <c r="M685" s="2" t="str">
        <f t="shared" si="65"/>
        <v>Thu</v>
      </c>
    </row>
    <row r="686" spans="1:13" x14ac:dyDescent="0.35">
      <c r="A686" s="4">
        <v>45884</v>
      </c>
      <c r="B686" s="2">
        <v>1529.43</v>
      </c>
      <c r="C686" s="2">
        <v>1531.28</v>
      </c>
      <c r="D686" s="2">
        <v>1535.375</v>
      </c>
      <c r="E686" s="2">
        <v>1529.2149999999999</v>
      </c>
      <c r="F686" s="1">
        <v>-1.1999999999999999E-3</v>
      </c>
      <c r="G686" s="2">
        <f t="shared" si="60"/>
        <v>2025</v>
      </c>
      <c r="H686" s="2" t="str">
        <f t="shared" si="61"/>
        <v>Aug</v>
      </c>
      <c r="I686" s="2">
        <f t="shared" si="62"/>
        <v>8</v>
      </c>
      <c r="J686" s="2" t="str">
        <f t="shared" si="63"/>
        <v>2025-08</v>
      </c>
      <c r="K686" s="2">
        <f t="shared" si="64"/>
        <v>33</v>
      </c>
      <c r="L686" s="2">
        <f ca="1">AVERAGE(OFFSET(USD_NGN_Historical_Data__17[[#This Row],[Rate]], -6, 0, 7, 1))</f>
        <v>1533.1450000000002</v>
      </c>
      <c r="M686" s="2" t="str">
        <f t="shared" si="65"/>
        <v>Fri</v>
      </c>
    </row>
    <row r="687" spans="1:13" x14ac:dyDescent="0.35">
      <c r="A687" s="4">
        <v>45887</v>
      </c>
      <c r="B687" s="2">
        <v>1534.26</v>
      </c>
      <c r="C687" s="2">
        <v>1529</v>
      </c>
      <c r="D687" s="2">
        <v>1535.53</v>
      </c>
      <c r="E687" s="2">
        <v>1528.7149999999999</v>
      </c>
      <c r="F687" s="1">
        <v>3.2000000000000002E-3</v>
      </c>
      <c r="G687" s="2">
        <f t="shared" si="60"/>
        <v>2025</v>
      </c>
      <c r="H687" s="2" t="str">
        <f t="shared" si="61"/>
        <v>Aug</v>
      </c>
      <c r="I687" s="2">
        <f t="shared" si="62"/>
        <v>8</v>
      </c>
      <c r="J687" s="2" t="str">
        <f t="shared" si="63"/>
        <v>2025-08</v>
      </c>
      <c r="K687" s="2">
        <f t="shared" si="64"/>
        <v>34</v>
      </c>
      <c r="L687" s="2">
        <f ca="1">AVERAGE(OFFSET(USD_NGN_Historical_Data__17[[#This Row],[Rate]], -6, 0, 7, 1))</f>
        <v>1533.1157142857141</v>
      </c>
      <c r="M687" s="2" t="str">
        <f t="shared" si="65"/>
        <v>Mon</v>
      </c>
    </row>
    <row r="688" spans="1:13" x14ac:dyDescent="0.35">
      <c r="A688" s="4">
        <v>45888</v>
      </c>
      <c r="B688" s="2">
        <v>1533.01</v>
      </c>
      <c r="C688" s="2">
        <v>1529.77</v>
      </c>
      <c r="D688" s="2">
        <v>1536.4</v>
      </c>
      <c r="E688" s="2">
        <v>1529.77</v>
      </c>
      <c r="F688" s="1">
        <v>-8.0000000000000004E-4</v>
      </c>
      <c r="G688" s="2">
        <f t="shared" si="60"/>
        <v>2025</v>
      </c>
      <c r="H688" s="2" t="str">
        <f t="shared" si="61"/>
        <v>Aug</v>
      </c>
      <c r="I688" s="2">
        <f t="shared" si="62"/>
        <v>8</v>
      </c>
      <c r="J688" s="2" t="str">
        <f t="shared" si="63"/>
        <v>2025-08</v>
      </c>
      <c r="K688" s="2">
        <f t="shared" si="64"/>
        <v>34</v>
      </c>
      <c r="L688" s="2">
        <f ca="1">AVERAGE(OFFSET(USD_NGN_Historical_Data__17[[#This Row],[Rate]], -6, 0, 7, 1))</f>
        <v>1533.1592857142857</v>
      </c>
      <c r="M688" s="2" t="str">
        <f t="shared" si="65"/>
        <v>Tue</v>
      </c>
    </row>
    <row r="689" spans="1:13" x14ac:dyDescent="0.35">
      <c r="A689" s="4">
        <v>45889</v>
      </c>
      <c r="B689" s="2">
        <v>1536.81</v>
      </c>
      <c r="C689" s="2">
        <v>1534.31</v>
      </c>
      <c r="D689" s="2">
        <v>1537.845</v>
      </c>
      <c r="E689" s="2">
        <v>1532.585</v>
      </c>
      <c r="F689" s="1">
        <v>2.5000000000000001E-3</v>
      </c>
      <c r="G689" s="2">
        <f t="shared" si="60"/>
        <v>2025</v>
      </c>
      <c r="H689" s="2" t="str">
        <f t="shared" si="61"/>
        <v>Aug</v>
      </c>
      <c r="I689" s="2">
        <f t="shared" si="62"/>
        <v>8</v>
      </c>
      <c r="J689" s="2" t="str">
        <f t="shared" si="63"/>
        <v>2025-08</v>
      </c>
      <c r="K689" s="2">
        <f t="shared" si="64"/>
        <v>34</v>
      </c>
      <c r="L689" s="2">
        <f ca="1">AVERAGE(OFFSET(USD_NGN_Historical_Data__17[[#This Row],[Rate]], -6, 0, 7, 1))</f>
        <v>1533.2564285714286</v>
      </c>
      <c r="M689" s="2" t="str">
        <f t="shared" si="65"/>
        <v>Wed</v>
      </c>
    </row>
    <row r="690" spans="1:13" x14ac:dyDescent="0.35">
      <c r="A690" s="4">
        <v>45890</v>
      </c>
      <c r="B690" s="2">
        <v>1536.76</v>
      </c>
      <c r="C690" s="2">
        <v>1532.93</v>
      </c>
      <c r="D690" s="2">
        <v>1537.6</v>
      </c>
      <c r="E690" s="2">
        <v>1532.93</v>
      </c>
      <c r="F690" s="1">
        <v>0</v>
      </c>
      <c r="G690" s="2">
        <f t="shared" si="60"/>
        <v>2025</v>
      </c>
      <c r="H690" s="2" t="str">
        <f t="shared" si="61"/>
        <v>Aug</v>
      </c>
      <c r="I690" s="2">
        <f t="shared" si="62"/>
        <v>8</v>
      </c>
      <c r="J690" s="2" t="str">
        <f t="shared" si="63"/>
        <v>2025-08</v>
      </c>
      <c r="K690" s="2">
        <f t="shared" si="64"/>
        <v>34</v>
      </c>
      <c r="L690" s="2">
        <f ca="1">AVERAGE(OFFSET(USD_NGN_Historical_Data__17[[#This Row],[Rate]], -6, 0, 7, 1))</f>
        <v>1533.3357142857144</v>
      </c>
      <c r="M690" s="2" t="str">
        <f t="shared" si="65"/>
        <v>Thu</v>
      </c>
    </row>
    <row r="691" spans="1:13" x14ac:dyDescent="0.35">
      <c r="A691" s="4">
        <v>45891</v>
      </c>
      <c r="B691" s="2">
        <v>1535.55</v>
      </c>
      <c r="C691" s="2">
        <v>1536.77</v>
      </c>
      <c r="D691" s="2">
        <v>1539.625</v>
      </c>
      <c r="E691" s="2">
        <v>1533.2650000000001</v>
      </c>
      <c r="F691" s="1">
        <v>-8.0000000000000004E-4</v>
      </c>
      <c r="G691" s="2">
        <f t="shared" si="60"/>
        <v>2025</v>
      </c>
      <c r="H691" s="2" t="str">
        <f t="shared" si="61"/>
        <v>Aug</v>
      </c>
      <c r="I691" s="2">
        <f t="shared" si="62"/>
        <v>8</v>
      </c>
      <c r="J691" s="2" t="str">
        <f t="shared" si="63"/>
        <v>2025-08</v>
      </c>
      <c r="K691" s="2">
        <f t="shared" si="64"/>
        <v>34</v>
      </c>
      <c r="L691" s="2">
        <f ca="1">AVERAGE(OFFSET(USD_NGN_Historical_Data__17[[#This Row],[Rate]], -6, 0, 7, 1))</f>
        <v>1533.8714285714286</v>
      </c>
      <c r="M691" s="2" t="str">
        <f t="shared" si="65"/>
        <v>Fri</v>
      </c>
    </row>
    <row r="692" spans="1:13" x14ac:dyDescent="0.35">
      <c r="A692" s="4">
        <v>45894</v>
      </c>
      <c r="B692" s="2">
        <v>1536.56</v>
      </c>
      <c r="C692" s="2">
        <v>1535.04</v>
      </c>
      <c r="D692" s="2">
        <v>1537.75</v>
      </c>
      <c r="E692" s="2">
        <v>1519.46</v>
      </c>
      <c r="F692" s="1">
        <v>6.9999999999999999E-4</v>
      </c>
      <c r="G692" s="2">
        <f t="shared" si="60"/>
        <v>2025</v>
      </c>
      <c r="H692" s="2" t="str">
        <f t="shared" si="61"/>
        <v>Aug</v>
      </c>
      <c r="I692" s="2">
        <f t="shared" si="62"/>
        <v>8</v>
      </c>
      <c r="J692" s="2" t="str">
        <f t="shared" si="63"/>
        <v>2025-08</v>
      </c>
      <c r="K692" s="2">
        <f t="shared" si="64"/>
        <v>35</v>
      </c>
      <c r="L692" s="2">
        <f ca="1">AVERAGE(OFFSET(USD_NGN_Historical_Data__17[[#This Row],[Rate]], -6, 0, 7, 1))</f>
        <v>1534.6257142857141</v>
      </c>
      <c r="M692" s="2" t="str">
        <f t="shared" si="65"/>
        <v>Mon</v>
      </c>
    </row>
    <row r="693" spans="1:13" x14ac:dyDescent="0.35">
      <c r="A693" s="4">
        <v>45895</v>
      </c>
      <c r="B693" s="2">
        <v>1536.96</v>
      </c>
      <c r="C693" s="2">
        <v>1536.68</v>
      </c>
      <c r="D693" s="2">
        <v>1537.94</v>
      </c>
      <c r="E693" s="2">
        <v>1530.38</v>
      </c>
      <c r="F693" s="1">
        <v>2.9999999999999997E-4</v>
      </c>
      <c r="G693" s="2">
        <f t="shared" si="60"/>
        <v>2025</v>
      </c>
      <c r="H693" s="2" t="str">
        <f t="shared" si="61"/>
        <v>Aug</v>
      </c>
      <c r="I693" s="2">
        <f t="shared" si="62"/>
        <v>8</v>
      </c>
      <c r="J693" s="2" t="str">
        <f t="shared" si="63"/>
        <v>2025-08</v>
      </c>
      <c r="K693" s="2">
        <f t="shared" si="64"/>
        <v>35</v>
      </c>
      <c r="L693" s="2">
        <f ca="1">AVERAGE(OFFSET(USD_NGN_Historical_Data__17[[#This Row],[Rate]], -6, 0, 7, 1))</f>
        <v>1535.7014285714286</v>
      </c>
      <c r="M693" s="2" t="str">
        <f t="shared" si="65"/>
        <v>Tue</v>
      </c>
    </row>
    <row r="694" spans="1:13" x14ac:dyDescent="0.35">
      <c r="A694" s="4">
        <v>45896</v>
      </c>
      <c r="B694" s="2">
        <v>1536.2650000000001</v>
      </c>
      <c r="C694" s="2">
        <v>1537</v>
      </c>
      <c r="D694" s="2">
        <v>1538.3150000000001</v>
      </c>
      <c r="E694" s="2">
        <v>1533.155</v>
      </c>
      <c r="F694" s="1">
        <v>-5.0000000000000001E-4</v>
      </c>
      <c r="G694" s="2">
        <f t="shared" si="60"/>
        <v>2025</v>
      </c>
      <c r="H694" s="2" t="str">
        <f t="shared" si="61"/>
        <v>Aug</v>
      </c>
      <c r="I694" s="2">
        <f t="shared" si="62"/>
        <v>8</v>
      </c>
      <c r="J694" s="2" t="str">
        <f t="shared" si="63"/>
        <v>2025-08</v>
      </c>
      <c r="K694" s="2">
        <f t="shared" si="64"/>
        <v>35</v>
      </c>
      <c r="L694" s="2">
        <f ca="1">AVERAGE(OFFSET(USD_NGN_Historical_Data__17[[#This Row],[Rate]], -6, 0, 7, 1))</f>
        <v>1535.9878571428574</v>
      </c>
      <c r="M694" s="2" t="str">
        <f t="shared" si="65"/>
        <v>Wed</v>
      </c>
    </row>
    <row r="695" spans="1:13" x14ac:dyDescent="0.35">
      <c r="A695" s="4">
        <v>45897</v>
      </c>
      <c r="B695" s="2">
        <v>1533.88</v>
      </c>
      <c r="C695" s="2">
        <v>1536.07</v>
      </c>
      <c r="D695" s="2">
        <v>1538.9749999999999</v>
      </c>
      <c r="E695" s="2">
        <v>1533.4549999999999</v>
      </c>
      <c r="F695" s="1">
        <v>-1.6000000000000001E-3</v>
      </c>
      <c r="G695" s="2">
        <f t="shared" si="60"/>
        <v>2025</v>
      </c>
      <c r="H695" s="2" t="str">
        <f t="shared" si="61"/>
        <v>Aug</v>
      </c>
      <c r="I695" s="2">
        <f t="shared" si="62"/>
        <v>8</v>
      </c>
      <c r="J695" s="2" t="str">
        <f t="shared" si="63"/>
        <v>2025-08</v>
      </c>
      <c r="K695" s="2">
        <f t="shared" si="64"/>
        <v>35</v>
      </c>
      <c r="L695" s="2">
        <f ca="1">AVERAGE(OFFSET(USD_NGN_Historical_Data__17[[#This Row],[Rate]], -6, 0, 7, 1))</f>
        <v>1536.1121428571428</v>
      </c>
      <c r="M695" s="2" t="str">
        <f t="shared" si="65"/>
        <v>Thu</v>
      </c>
    </row>
    <row r="696" spans="1:13" x14ac:dyDescent="0.35">
      <c r="A696" s="4">
        <v>45898</v>
      </c>
      <c r="B696" s="2">
        <v>1536.95</v>
      </c>
      <c r="C696" s="2">
        <v>1534.32</v>
      </c>
      <c r="D696" s="2">
        <v>1537.44</v>
      </c>
      <c r="E696" s="2">
        <v>1531.8</v>
      </c>
      <c r="F696" s="1">
        <v>2E-3</v>
      </c>
      <c r="G696" s="2">
        <f t="shared" si="60"/>
        <v>2025</v>
      </c>
      <c r="H696" s="2" t="str">
        <f t="shared" si="61"/>
        <v>Aug</v>
      </c>
      <c r="I696" s="2">
        <f t="shared" si="62"/>
        <v>8</v>
      </c>
      <c r="J696" s="2" t="str">
        <f t="shared" si="63"/>
        <v>2025-08</v>
      </c>
      <c r="K696" s="2">
        <f t="shared" si="64"/>
        <v>35</v>
      </c>
      <c r="L696" s="2">
        <f ca="1">AVERAGE(OFFSET(USD_NGN_Historical_Data__17[[#This Row],[Rate]], -6, 0, 7, 1))</f>
        <v>1536.132142857143</v>
      </c>
      <c r="M696" s="2" t="str">
        <f t="shared" si="65"/>
        <v>Fri</v>
      </c>
    </row>
    <row r="697" spans="1:13" x14ac:dyDescent="0.35">
      <c r="A697" s="4">
        <v>45901</v>
      </c>
      <c r="B697" s="2">
        <v>1529.68</v>
      </c>
      <c r="C697" s="2">
        <v>1532.57</v>
      </c>
      <c r="D697" s="2">
        <v>1534.605</v>
      </c>
      <c r="E697" s="2">
        <v>1526.2349999999999</v>
      </c>
      <c r="F697" s="1">
        <v>-4.7000000000000002E-3</v>
      </c>
      <c r="G697" s="2">
        <f t="shared" si="60"/>
        <v>2025</v>
      </c>
      <c r="H697" s="2" t="str">
        <f t="shared" si="61"/>
        <v>Sep</v>
      </c>
      <c r="I697" s="2">
        <f t="shared" si="62"/>
        <v>9</v>
      </c>
      <c r="J697" s="2" t="str">
        <f t="shared" si="63"/>
        <v>2025-09</v>
      </c>
      <c r="K697" s="2">
        <f t="shared" si="64"/>
        <v>36</v>
      </c>
      <c r="L697" s="2">
        <f ca="1">AVERAGE(OFFSET(USD_NGN_Historical_Data__17[[#This Row],[Rate]], -6, 0, 7, 1))</f>
        <v>1535.1207142857145</v>
      </c>
      <c r="M697" s="2" t="str">
        <f t="shared" si="65"/>
        <v>Mon</v>
      </c>
    </row>
    <row r="698" spans="1:13" x14ac:dyDescent="0.35">
      <c r="A698" s="4">
        <v>45902</v>
      </c>
      <c r="B698" s="2">
        <v>1539</v>
      </c>
      <c r="C698" s="2">
        <v>1528.73</v>
      </c>
      <c r="D698" s="2">
        <v>1539</v>
      </c>
      <c r="E698" s="2">
        <v>1525.2850000000001</v>
      </c>
      <c r="F698" s="1">
        <v>6.1000000000000004E-3</v>
      </c>
      <c r="G698" s="2">
        <f t="shared" si="60"/>
        <v>2025</v>
      </c>
      <c r="H698" s="2" t="str">
        <f t="shared" si="61"/>
        <v>Sep</v>
      </c>
      <c r="I698" s="2">
        <f t="shared" si="62"/>
        <v>9</v>
      </c>
      <c r="J698" s="2" t="str">
        <f t="shared" si="63"/>
        <v>2025-09</v>
      </c>
      <c r="K698" s="2">
        <f t="shared" si="64"/>
        <v>36</v>
      </c>
      <c r="L698" s="2">
        <f ca="1">AVERAGE(OFFSET(USD_NGN_Historical_Data__17[[#This Row],[Rate]], -6, 0, 7, 1))</f>
        <v>1535.6135714285715</v>
      </c>
      <c r="M698" s="2" t="str">
        <f t="shared" si="65"/>
        <v>Tue</v>
      </c>
    </row>
    <row r="699" spans="1:13" x14ac:dyDescent="0.35">
      <c r="A699" s="4">
        <v>45903</v>
      </c>
      <c r="B699" s="2">
        <v>1539.5050000000001</v>
      </c>
      <c r="C699" s="2">
        <v>1536.405</v>
      </c>
      <c r="D699" s="2">
        <v>1539.5050000000001</v>
      </c>
      <c r="E699" s="2">
        <v>1524.73</v>
      </c>
      <c r="F699" s="1">
        <v>2.9999999999999997E-4</v>
      </c>
      <c r="G699" s="2">
        <f t="shared" si="60"/>
        <v>2025</v>
      </c>
      <c r="H699" s="2" t="str">
        <f t="shared" si="61"/>
        <v>Sep</v>
      </c>
      <c r="I699" s="2">
        <f t="shared" si="62"/>
        <v>9</v>
      </c>
      <c r="J699" s="2" t="str">
        <f t="shared" si="63"/>
        <v>2025-09</v>
      </c>
      <c r="K699" s="2">
        <f t="shared" si="64"/>
        <v>36</v>
      </c>
      <c r="L699" s="2">
        <f ca="1">AVERAGE(OFFSET(USD_NGN_Historical_Data__17[[#This Row],[Rate]], -6, 0, 7, 1))</f>
        <v>1536.0342857142859</v>
      </c>
      <c r="M699" s="2" t="str">
        <f t="shared" si="65"/>
        <v>Wed</v>
      </c>
    </row>
    <row r="700" spans="1:13" x14ac:dyDescent="0.35">
      <c r="A700" s="4">
        <v>45904</v>
      </c>
      <c r="B700" s="2">
        <v>1526.19</v>
      </c>
      <c r="C700" s="2">
        <v>1525.47</v>
      </c>
      <c r="D700" s="2">
        <v>1539.5050000000001</v>
      </c>
      <c r="E700" s="2">
        <v>1517.8050000000001</v>
      </c>
      <c r="F700" s="1">
        <v>-8.6E-3</v>
      </c>
      <c r="G700" s="2">
        <f t="shared" si="60"/>
        <v>2025</v>
      </c>
      <c r="H700" s="2" t="str">
        <f t="shared" si="61"/>
        <v>Sep</v>
      </c>
      <c r="I700" s="2">
        <f t="shared" si="62"/>
        <v>9</v>
      </c>
      <c r="J700" s="2" t="str">
        <f t="shared" si="63"/>
        <v>2025-09</v>
      </c>
      <c r="K700" s="2">
        <f t="shared" si="64"/>
        <v>36</v>
      </c>
      <c r="L700" s="2">
        <f ca="1">AVERAGE(OFFSET(USD_NGN_Historical_Data__17[[#This Row],[Rate]], -6, 0, 7, 1))</f>
        <v>1534.4957142857145</v>
      </c>
      <c r="M700" s="2" t="str">
        <f t="shared" si="65"/>
        <v>Thu</v>
      </c>
    </row>
    <row r="701" spans="1:13" x14ac:dyDescent="0.35">
      <c r="A701" s="4">
        <v>45905</v>
      </c>
      <c r="B701" s="2">
        <v>1528.2950000000001</v>
      </c>
      <c r="C701" s="2">
        <v>1526.19</v>
      </c>
      <c r="D701" s="2">
        <v>1529.41</v>
      </c>
      <c r="E701" s="2">
        <v>1517.51</v>
      </c>
      <c r="F701" s="1">
        <v>1.4E-3</v>
      </c>
      <c r="G701" s="2">
        <f t="shared" si="60"/>
        <v>2025</v>
      </c>
      <c r="H701" s="2" t="str">
        <f t="shared" si="61"/>
        <v>Sep</v>
      </c>
      <c r="I701" s="2">
        <f t="shared" si="62"/>
        <v>9</v>
      </c>
      <c r="J701" s="2" t="str">
        <f t="shared" si="63"/>
        <v>2025-09</v>
      </c>
      <c r="K701" s="2">
        <f t="shared" si="64"/>
        <v>36</v>
      </c>
      <c r="L701" s="2">
        <f ca="1">AVERAGE(OFFSET(USD_NGN_Historical_Data__17[[#This Row],[Rate]], -6, 0, 7, 1))</f>
        <v>1533.3571428571429</v>
      </c>
      <c r="M701" s="2" t="str">
        <f t="shared" si="65"/>
        <v>Fri</v>
      </c>
    </row>
    <row r="702" spans="1:13" x14ac:dyDescent="0.35">
      <c r="A702" s="4">
        <v>45908</v>
      </c>
      <c r="B702" s="2">
        <v>1506.49</v>
      </c>
      <c r="C702" s="2">
        <v>1517.51</v>
      </c>
      <c r="D702" s="2">
        <v>1527.12</v>
      </c>
      <c r="E702" s="2">
        <v>1503.14</v>
      </c>
      <c r="F702" s="1">
        <v>-1.43E-2</v>
      </c>
      <c r="G702" s="2">
        <f t="shared" si="60"/>
        <v>2025</v>
      </c>
      <c r="H702" s="2" t="str">
        <f t="shared" si="61"/>
        <v>Sep</v>
      </c>
      <c r="I702" s="2">
        <f t="shared" si="62"/>
        <v>9</v>
      </c>
      <c r="J702" s="2" t="str">
        <f t="shared" si="63"/>
        <v>2025-09</v>
      </c>
      <c r="K702" s="2">
        <f t="shared" si="64"/>
        <v>37</v>
      </c>
      <c r="L702" s="2">
        <f ca="1">AVERAGE(OFFSET(USD_NGN_Historical_Data__17[[#This Row],[Rate]], -6, 0, 7, 1))</f>
        <v>1529.4442857142858</v>
      </c>
      <c r="M702" s="2" t="str">
        <f t="shared" si="65"/>
        <v>Mon</v>
      </c>
    </row>
    <row r="703" spans="1:13" x14ac:dyDescent="0.35">
      <c r="A703" s="4">
        <v>45909</v>
      </c>
      <c r="B703" s="2">
        <v>1506.175</v>
      </c>
      <c r="C703" s="2">
        <v>1507.73</v>
      </c>
      <c r="D703" s="2">
        <v>1512.61</v>
      </c>
      <c r="E703" s="2">
        <v>1503.11</v>
      </c>
      <c r="F703" s="1">
        <v>-2.0000000000000001E-4</v>
      </c>
      <c r="G703" s="2">
        <f t="shared" si="60"/>
        <v>2025</v>
      </c>
      <c r="H703" s="2" t="str">
        <f t="shared" si="61"/>
        <v>Sep</v>
      </c>
      <c r="I703" s="2">
        <f t="shared" si="62"/>
        <v>9</v>
      </c>
      <c r="J703" s="2" t="str">
        <f t="shared" si="63"/>
        <v>2025-09</v>
      </c>
      <c r="K703" s="2">
        <f t="shared" si="64"/>
        <v>37</v>
      </c>
      <c r="L703" s="2">
        <f ca="1">AVERAGE(OFFSET(USD_NGN_Historical_Data__17[[#This Row],[Rate]], -6, 0, 7, 1))</f>
        <v>1525.0478571428571</v>
      </c>
      <c r="M703" s="2" t="str">
        <f t="shared" si="65"/>
        <v>Tue</v>
      </c>
    </row>
    <row r="704" spans="1:13" x14ac:dyDescent="0.35">
      <c r="A704" s="4">
        <v>45910</v>
      </c>
      <c r="B704" s="2">
        <v>1503.63</v>
      </c>
      <c r="C704" s="2">
        <v>1506.16</v>
      </c>
      <c r="D704" s="2">
        <v>1514.5</v>
      </c>
      <c r="E704" s="2">
        <v>1500.99</v>
      </c>
      <c r="F704" s="1">
        <v>-1.6999999999999999E-3</v>
      </c>
      <c r="G704" s="2">
        <f t="shared" si="60"/>
        <v>2025</v>
      </c>
      <c r="H704" s="2" t="str">
        <f t="shared" si="61"/>
        <v>Sep</v>
      </c>
      <c r="I704" s="2">
        <f t="shared" si="62"/>
        <v>9</v>
      </c>
      <c r="J704" s="2" t="str">
        <f t="shared" si="63"/>
        <v>2025-09</v>
      </c>
      <c r="K704" s="2">
        <f t="shared" si="64"/>
        <v>37</v>
      </c>
      <c r="L704" s="2">
        <f ca="1">AVERAGE(OFFSET(USD_NGN_Historical_Data__17[[#This Row],[Rate]], -6, 0, 7, 1))</f>
        <v>1521.3264285714286</v>
      </c>
      <c r="M704" s="2" t="str">
        <f t="shared" si="65"/>
        <v>Wed</v>
      </c>
    </row>
    <row r="705" spans="1:13" x14ac:dyDescent="0.35">
      <c r="A705" s="4">
        <v>45911</v>
      </c>
      <c r="B705" s="2">
        <v>1504.7</v>
      </c>
      <c r="C705" s="2">
        <v>1504.075</v>
      </c>
      <c r="D705" s="2">
        <v>1508.45</v>
      </c>
      <c r="E705" s="2">
        <v>1498</v>
      </c>
      <c r="F705" s="1">
        <v>6.9999999999999999E-4</v>
      </c>
      <c r="G705" s="2">
        <f t="shared" si="60"/>
        <v>2025</v>
      </c>
      <c r="H705" s="2" t="str">
        <f t="shared" si="61"/>
        <v>Sep</v>
      </c>
      <c r="I705" s="2">
        <f t="shared" si="62"/>
        <v>9</v>
      </c>
      <c r="J705" s="2" t="str">
        <f t="shared" si="63"/>
        <v>2025-09</v>
      </c>
      <c r="K705" s="2">
        <f t="shared" si="64"/>
        <v>37</v>
      </c>
      <c r="L705" s="2">
        <f ca="1">AVERAGE(OFFSET(USD_NGN_Historical_Data__17[[#This Row],[Rate]], -6, 0, 7, 1))</f>
        <v>1516.4264285714287</v>
      </c>
      <c r="M705" s="2" t="str">
        <f t="shared" si="65"/>
        <v>Thu</v>
      </c>
    </row>
    <row r="706" spans="1:13" x14ac:dyDescent="0.35">
      <c r="A706" s="4">
        <v>45912</v>
      </c>
      <c r="B706" s="2">
        <v>1499.59</v>
      </c>
      <c r="C706" s="2">
        <v>1502.27</v>
      </c>
      <c r="D706" s="2">
        <v>1504.62</v>
      </c>
      <c r="E706" s="2">
        <v>1499.04</v>
      </c>
      <c r="F706" s="1">
        <v>-3.3999999999999998E-3</v>
      </c>
      <c r="G706" s="2">
        <f t="shared" ref="G706:G769" si="66">YEAR(A706)</f>
        <v>2025</v>
      </c>
      <c r="H706" s="2" t="str">
        <f t="shared" ref="H706:H769" si="67">TEXT(A706,"mmm")</f>
        <v>Sep</v>
      </c>
      <c r="I706" s="2">
        <f t="shared" ref="I706:I769" si="68">MONTH(A706)</f>
        <v>9</v>
      </c>
      <c r="J706" s="2" t="str">
        <f t="shared" ref="J706:J769" si="69">TEXT(A706,"yyyy-mm")</f>
        <v>2025-09</v>
      </c>
      <c r="K706" s="2">
        <f t="shared" ref="K706:K769" si="70">WEEKNUM(A706)</f>
        <v>37</v>
      </c>
      <c r="L706" s="2">
        <f ca="1">AVERAGE(OFFSET(USD_NGN_Historical_Data__17[[#This Row],[Rate]], -6, 0, 7, 1))</f>
        <v>1510.724285714286</v>
      </c>
      <c r="M706" s="2" t="str">
        <f t="shared" ref="M706:M769" si="71">TEXT(A706, "ddd")</f>
        <v>Fri</v>
      </c>
    </row>
    <row r="707" spans="1:13" x14ac:dyDescent="0.35">
      <c r="A707" s="4">
        <v>45915</v>
      </c>
      <c r="B707" s="2">
        <v>1498.1</v>
      </c>
      <c r="C707" s="2">
        <v>1500.5</v>
      </c>
      <c r="D707" s="2">
        <v>1505.22</v>
      </c>
      <c r="E707" s="2">
        <v>1497.37</v>
      </c>
      <c r="F707" s="1">
        <v>-1E-3</v>
      </c>
      <c r="G707" s="2">
        <f t="shared" si="66"/>
        <v>2025</v>
      </c>
      <c r="H707" s="2" t="str">
        <f t="shared" si="67"/>
        <v>Sep</v>
      </c>
      <c r="I707" s="2">
        <f t="shared" si="68"/>
        <v>9</v>
      </c>
      <c r="J707" s="2" t="str">
        <f t="shared" si="69"/>
        <v>2025-09</v>
      </c>
      <c r="K707" s="2">
        <f t="shared" si="70"/>
        <v>38</v>
      </c>
      <c r="L707" s="2">
        <f ca="1">AVERAGE(OFFSET(USD_NGN_Historical_Data__17[[#This Row],[Rate]], -6, 0, 7, 1))</f>
        <v>1506.7114285714285</v>
      </c>
      <c r="M707" s="2" t="str">
        <f t="shared" si="71"/>
        <v>Mon</v>
      </c>
    </row>
    <row r="708" spans="1:13" x14ac:dyDescent="0.35">
      <c r="A708" s="4">
        <v>45916</v>
      </c>
      <c r="B708" s="2">
        <v>1495.25</v>
      </c>
      <c r="C708" s="2">
        <v>1498.15</v>
      </c>
      <c r="D708" s="2">
        <v>1501.5150000000001</v>
      </c>
      <c r="E708" s="2">
        <v>1488.9</v>
      </c>
      <c r="F708" s="1">
        <v>-1.9E-3</v>
      </c>
      <c r="G708" s="2">
        <f t="shared" si="66"/>
        <v>2025</v>
      </c>
      <c r="H708" s="2" t="str">
        <f t="shared" si="67"/>
        <v>Sep</v>
      </c>
      <c r="I708" s="2">
        <f t="shared" si="68"/>
        <v>9</v>
      </c>
      <c r="J708" s="2" t="str">
        <f t="shared" si="69"/>
        <v>2025-09</v>
      </c>
      <c r="K708" s="2">
        <f t="shared" si="70"/>
        <v>38</v>
      </c>
      <c r="L708" s="2">
        <f ca="1">AVERAGE(OFFSET(USD_NGN_Historical_Data__17[[#This Row],[Rate]], -6, 0, 7, 1))</f>
        <v>1501.9907142857141</v>
      </c>
      <c r="M708" s="2" t="str">
        <f t="shared" si="71"/>
        <v>Tue</v>
      </c>
    </row>
    <row r="709" spans="1:13" x14ac:dyDescent="0.35">
      <c r="A709" s="4">
        <v>45917</v>
      </c>
      <c r="B709" s="2">
        <v>1495.51</v>
      </c>
      <c r="C709" s="2">
        <v>1491.35</v>
      </c>
      <c r="D709" s="2">
        <v>1497.0450000000001</v>
      </c>
      <c r="E709" s="2">
        <v>1487.155</v>
      </c>
      <c r="F709" s="1">
        <v>2.0000000000000001E-4</v>
      </c>
      <c r="G709" s="2">
        <f t="shared" si="66"/>
        <v>2025</v>
      </c>
      <c r="H709" s="2" t="str">
        <f t="shared" si="67"/>
        <v>Sep</v>
      </c>
      <c r="I709" s="2">
        <f t="shared" si="68"/>
        <v>9</v>
      </c>
      <c r="J709" s="2" t="str">
        <f t="shared" si="69"/>
        <v>2025-09</v>
      </c>
      <c r="K709" s="2">
        <f t="shared" si="70"/>
        <v>38</v>
      </c>
      <c r="L709" s="2">
        <f ca="1">AVERAGE(OFFSET(USD_NGN_Historical_Data__17[[#This Row],[Rate]], -6, 0, 7, 1))</f>
        <v>1500.4221428571429</v>
      </c>
      <c r="M709" s="2" t="str">
        <f t="shared" si="71"/>
        <v>Wed</v>
      </c>
    </row>
    <row r="710" spans="1:13" x14ac:dyDescent="0.35">
      <c r="A710" s="4">
        <v>45918</v>
      </c>
      <c r="B710" s="2">
        <v>1495.655</v>
      </c>
      <c r="C710" s="2">
        <v>1495.59</v>
      </c>
      <c r="D710" s="2">
        <v>1500.145</v>
      </c>
      <c r="E710" s="2">
        <v>1488.62</v>
      </c>
      <c r="F710" s="1">
        <v>1E-4</v>
      </c>
      <c r="G710" s="2">
        <f t="shared" si="66"/>
        <v>2025</v>
      </c>
      <c r="H710" s="2" t="str">
        <f t="shared" si="67"/>
        <v>Sep</v>
      </c>
      <c r="I710" s="2">
        <f t="shared" si="68"/>
        <v>9</v>
      </c>
      <c r="J710" s="2" t="str">
        <f t="shared" si="69"/>
        <v>2025-09</v>
      </c>
      <c r="K710" s="2">
        <f t="shared" si="70"/>
        <v>38</v>
      </c>
      <c r="L710" s="2">
        <f ca="1">AVERAGE(OFFSET(USD_NGN_Historical_Data__17[[#This Row],[Rate]], -6, 0, 7, 1))</f>
        <v>1498.9192857142859</v>
      </c>
      <c r="M710" s="2" t="str">
        <f t="shared" si="71"/>
        <v>Thu</v>
      </c>
    </row>
    <row r="711" spans="1:13" x14ac:dyDescent="0.35">
      <c r="A711" s="4">
        <v>45919</v>
      </c>
      <c r="B711" s="2">
        <v>1492.81</v>
      </c>
      <c r="C711" s="2">
        <v>1497.655</v>
      </c>
      <c r="D711" s="2">
        <v>1501.895</v>
      </c>
      <c r="E711" s="2">
        <v>1490.7750000000001</v>
      </c>
      <c r="F711" s="1">
        <v>-1.9E-3</v>
      </c>
      <c r="G711" s="2">
        <f t="shared" si="66"/>
        <v>2025</v>
      </c>
      <c r="H711" s="2" t="str">
        <f t="shared" si="67"/>
        <v>Sep</v>
      </c>
      <c r="I711" s="2">
        <f t="shared" si="68"/>
        <v>9</v>
      </c>
      <c r="J711" s="2" t="str">
        <f t="shared" si="69"/>
        <v>2025-09</v>
      </c>
      <c r="K711" s="2">
        <f t="shared" si="70"/>
        <v>38</v>
      </c>
      <c r="L711" s="2">
        <f ca="1">AVERAGE(OFFSET(USD_NGN_Historical_Data__17[[#This Row],[Rate]], -6, 0, 7, 1))</f>
        <v>1497.3735714285715</v>
      </c>
      <c r="M711" s="2" t="str">
        <f t="shared" si="71"/>
        <v>Fri</v>
      </c>
    </row>
    <row r="712" spans="1:13" x14ac:dyDescent="0.35">
      <c r="A712" s="4">
        <v>45922</v>
      </c>
      <c r="B712" s="2">
        <v>1493.2750000000001</v>
      </c>
      <c r="C712" s="2">
        <v>1495.5</v>
      </c>
      <c r="D712" s="2">
        <v>1497.75</v>
      </c>
      <c r="E712" s="2">
        <v>1488.35</v>
      </c>
      <c r="F712" s="1">
        <v>2.9999999999999997E-4</v>
      </c>
      <c r="G712" s="2">
        <f t="shared" si="66"/>
        <v>2025</v>
      </c>
      <c r="H712" s="2" t="str">
        <f t="shared" si="67"/>
        <v>Sep</v>
      </c>
      <c r="I712" s="2">
        <f t="shared" si="68"/>
        <v>9</v>
      </c>
      <c r="J712" s="2" t="str">
        <f t="shared" si="69"/>
        <v>2025-09</v>
      </c>
      <c r="K712" s="2">
        <f t="shared" si="70"/>
        <v>39</v>
      </c>
      <c r="L712" s="2">
        <f ca="1">AVERAGE(OFFSET(USD_NGN_Historical_Data__17[[#This Row],[Rate]], -6, 0, 7, 1))</f>
        <v>1495.7414285714283</v>
      </c>
      <c r="M712" s="2" t="str">
        <f t="shared" si="71"/>
        <v>Mon</v>
      </c>
    </row>
    <row r="713" spans="1:13" x14ac:dyDescent="0.35">
      <c r="A713" s="4">
        <v>45923</v>
      </c>
      <c r="B713" s="2">
        <v>1490.345</v>
      </c>
      <c r="C713" s="2">
        <v>1488.65</v>
      </c>
      <c r="D713" s="2">
        <v>1494.8050000000001</v>
      </c>
      <c r="E713" s="2">
        <v>1486.42</v>
      </c>
      <c r="F713" s="1">
        <v>-2E-3</v>
      </c>
      <c r="G713" s="2">
        <f t="shared" si="66"/>
        <v>2025</v>
      </c>
      <c r="H713" s="2" t="str">
        <f t="shared" si="67"/>
        <v>Sep</v>
      </c>
      <c r="I713" s="2">
        <f t="shared" si="68"/>
        <v>9</v>
      </c>
      <c r="J713" s="2" t="str">
        <f t="shared" si="69"/>
        <v>2025-09</v>
      </c>
      <c r="K713" s="2">
        <f t="shared" si="70"/>
        <v>39</v>
      </c>
      <c r="L713" s="2">
        <f ca="1">AVERAGE(OFFSET(USD_NGN_Historical_Data__17[[#This Row],[Rate]], -6, 0, 7, 1))</f>
        <v>1494.420714285714</v>
      </c>
      <c r="M713" s="2" t="str">
        <f t="shared" si="71"/>
        <v>Tue</v>
      </c>
    </row>
    <row r="714" spans="1:13" x14ac:dyDescent="0.35">
      <c r="A714" s="4">
        <v>45924</v>
      </c>
      <c r="B714" s="2">
        <v>1491.88</v>
      </c>
      <c r="C714" s="2">
        <v>1490.375</v>
      </c>
      <c r="D714" s="2">
        <v>1494.5350000000001</v>
      </c>
      <c r="E714" s="2">
        <v>1486.7550000000001</v>
      </c>
      <c r="F714" s="1">
        <v>1E-3</v>
      </c>
      <c r="G714" s="2">
        <f t="shared" si="66"/>
        <v>2025</v>
      </c>
      <c r="H714" s="2" t="str">
        <f t="shared" si="67"/>
        <v>Sep</v>
      </c>
      <c r="I714" s="2">
        <f t="shared" si="68"/>
        <v>9</v>
      </c>
      <c r="J714" s="2" t="str">
        <f t="shared" si="69"/>
        <v>2025-09</v>
      </c>
      <c r="K714" s="2">
        <f t="shared" si="70"/>
        <v>39</v>
      </c>
      <c r="L714" s="2">
        <f ca="1">AVERAGE(OFFSET(USD_NGN_Historical_Data__17[[#This Row],[Rate]], -6, 0, 7, 1))</f>
        <v>1493.5321428571426</v>
      </c>
      <c r="M714" s="2" t="str">
        <f t="shared" si="71"/>
        <v>Wed</v>
      </c>
    </row>
    <row r="715" spans="1:13" x14ac:dyDescent="0.35">
      <c r="A715" s="4">
        <v>45925</v>
      </c>
      <c r="B715" s="2">
        <v>1490.02</v>
      </c>
      <c r="C715" s="2">
        <v>1491.88</v>
      </c>
      <c r="D715" s="2">
        <v>1493.6</v>
      </c>
      <c r="E715" s="2">
        <v>1486.155</v>
      </c>
      <c r="F715" s="1">
        <v>-1.1999999999999999E-3</v>
      </c>
      <c r="G715" s="2">
        <f t="shared" si="66"/>
        <v>2025</v>
      </c>
      <c r="H715" s="2" t="str">
        <f t="shared" si="67"/>
        <v>Sep</v>
      </c>
      <c r="I715" s="2">
        <f t="shared" si="68"/>
        <v>9</v>
      </c>
      <c r="J715" s="2" t="str">
        <f t="shared" si="69"/>
        <v>2025-09</v>
      </c>
      <c r="K715" s="2">
        <f t="shared" si="70"/>
        <v>39</v>
      </c>
      <c r="L715" s="2">
        <f ca="1">AVERAGE(OFFSET(USD_NGN_Historical_Data__17[[#This Row],[Rate]], -6, 0, 7, 1))</f>
        <v>1492.7850000000001</v>
      </c>
      <c r="M715" s="2" t="str">
        <f t="shared" si="71"/>
        <v>Thu</v>
      </c>
    </row>
    <row r="716" spans="1:13" x14ac:dyDescent="0.35">
      <c r="A716" s="4">
        <v>45926</v>
      </c>
      <c r="B716" s="2">
        <v>1486.22</v>
      </c>
      <c r="C716" s="2">
        <v>1490.0150000000001</v>
      </c>
      <c r="D716" s="2">
        <v>1503.75</v>
      </c>
      <c r="E716" s="2">
        <v>1483.04</v>
      </c>
      <c r="F716" s="1">
        <v>-2.5999999999999999E-3</v>
      </c>
      <c r="G716" s="2">
        <f t="shared" si="66"/>
        <v>2025</v>
      </c>
      <c r="H716" s="2" t="str">
        <f t="shared" si="67"/>
        <v>Sep</v>
      </c>
      <c r="I716" s="2">
        <f t="shared" si="68"/>
        <v>9</v>
      </c>
      <c r="J716" s="2" t="str">
        <f t="shared" si="69"/>
        <v>2025-09</v>
      </c>
      <c r="K716" s="2">
        <f t="shared" si="70"/>
        <v>39</v>
      </c>
      <c r="L716" s="2">
        <f ca="1">AVERAGE(OFFSET(USD_NGN_Historical_Data__17[[#This Row],[Rate]], -6, 0, 7, 1))</f>
        <v>1491.4578571428572</v>
      </c>
      <c r="M716" s="2" t="str">
        <f t="shared" si="71"/>
        <v>Fri</v>
      </c>
    </row>
    <row r="717" spans="1:13" x14ac:dyDescent="0.35">
      <c r="A717" s="4">
        <v>45929</v>
      </c>
      <c r="B717" s="2">
        <v>1485.675</v>
      </c>
      <c r="C717" s="2">
        <v>1484.91</v>
      </c>
      <c r="D717" s="2">
        <v>1488.135</v>
      </c>
      <c r="E717" s="2">
        <v>1480.31</v>
      </c>
      <c r="F717" s="1">
        <v>-4.0000000000000002E-4</v>
      </c>
      <c r="G717" s="2">
        <f t="shared" si="66"/>
        <v>2025</v>
      </c>
      <c r="H717" s="2" t="str">
        <f t="shared" si="67"/>
        <v>Sep</v>
      </c>
      <c r="I717" s="2">
        <f t="shared" si="68"/>
        <v>9</v>
      </c>
      <c r="J717" s="2" t="str">
        <f t="shared" si="69"/>
        <v>2025-09</v>
      </c>
      <c r="K717" s="2">
        <f t="shared" si="70"/>
        <v>40</v>
      </c>
      <c r="L717" s="2">
        <f ca="1">AVERAGE(OFFSET(USD_NGN_Historical_Data__17[[#This Row],[Rate]], -6, 0, 7, 1))</f>
        <v>1490.0321428571426</v>
      </c>
      <c r="M717" s="2" t="str">
        <f t="shared" si="71"/>
        <v>Mon</v>
      </c>
    </row>
    <row r="718" spans="1:13" x14ac:dyDescent="0.35">
      <c r="A718" s="4">
        <v>45930</v>
      </c>
      <c r="B718" s="2">
        <v>1483.175</v>
      </c>
      <c r="C718" s="2">
        <v>1481.59</v>
      </c>
      <c r="D718" s="2">
        <v>1486.2650000000001</v>
      </c>
      <c r="E718" s="2">
        <v>1475</v>
      </c>
      <c r="F718" s="1">
        <v>-1.6999999999999999E-3</v>
      </c>
      <c r="G718" s="2">
        <f t="shared" si="66"/>
        <v>2025</v>
      </c>
      <c r="H718" s="2" t="str">
        <f t="shared" si="67"/>
        <v>Sep</v>
      </c>
      <c r="I718" s="2">
        <f t="shared" si="68"/>
        <v>9</v>
      </c>
      <c r="J718" s="2" t="str">
        <f t="shared" si="69"/>
        <v>2025-09</v>
      </c>
      <c r="K718" s="2">
        <f t="shared" si="70"/>
        <v>40</v>
      </c>
      <c r="L718" s="2">
        <f ca="1">AVERAGE(OFFSET(USD_NGN_Historical_Data__17[[#This Row],[Rate]], -6, 0, 7, 1))</f>
        <v>1488.6557142857143</v>
      </c>
      <c r="M718" s="2" t="str">
        <f t="shared" si="71"/>
        <v>Tue</v>
      </c>
    </row>
    <row r="719" spans="1:13" x14ac:dyDescent="0.35">
      <c r="A719" s="4">
        <v>45931</v>
      </c>
      <c r="B719" s="2">
        <v>1483.1949999999999</v>
      </c>
      <c r="C719" s="2">
        <v>1483.24</v>
      </c>
      <c r="D719" s="2">
        <v>1485.875</v>
      </c>
      <c r="E719" s="2">
        <v>1477.59</v>
      </c>
      <c r="F719" s="1">
        <v>0</v>
      </c>
      <c r="G719" s="2">
        <f t="shared" si="66"/>
        <v>2025</v>
      </c>
      <c r="H719" s="2" t="str">
        <f t="shared" si="67"/>
        <v>Oct</v>
      </c>
      <c r="I719" s="2">
        <f t="shared" si="68"/>
        <v>10</v>
      </c>
      <c r="J719" s="2" t="str">
        <f t="shared" si="69"/>
        <v>2025-10</v>
      </c>
      <c r="K719" s="2">
        <f t="shared" si="70"/>
        <v>40</v>
      </c>
      <c r="L719" s="2">
        <f ca="1">AVERAGE(OFFSET(USD_NGN_Historical_Data__17[[#This Row],[Rate]], -6, 0, 7, 1))</f>
        <v>1487.2157142857143</v>
      </c>
      <c r="M719" s="2" t="str">
        <f t="shared" si="71"/>
        <v>Wed</v>
      </c>
    </row>
    <row r="720" spans="1:13" x14ac:dyDescent="0.35">
      <c r="A720" s="4">
        <v>45932</v>
      </c>
      <c r="B720" s="2">
        <v>1469.73</v>
      </c>
      <c r="C720" s="2">
        <v>1477.7</v>
      </c>
      <c r="D720" s="2">
        <v>1486</v>
      </c>
      <c r="E720" s="2">
        <v>1455.8</v>
      </c>
      <c r="F720" s="1">
        <v>-9.1000000000000004E-3</v>
      </c>
      <c r="G720" s="2">
        <f t="shared" si="66"/>
        <v>2025</v>
      </c>
      <c r="H720" s="2" t="str">
        <f t="shared" si="67"/>
        <v>Oct</v>
      </c>
      <c r="I720" s="2">
        <f t="shared" si="68"/>
        <v>10</v>
      </c>
      <c r="J720" s="2" t="str">
        <f t="shared" si="69"/>
        <v>2025-10</v>
      </c>
      <c r="K720" s="2">
        <f t="shared" si="70"/>
        <v>40</v>
      </c>
      <c r="L720" s="2">
        <f ca="1">AVERAGE(OFFSET(USD_NGN_Historical_Data__17[[#This Row],[Rate]], -6, 0, 7, 1))</f>
        <v>1484.2707142857143</v>
      </c>
      <c r="M720" s="2" t="str">
        <f t="shared" si="71"/>
        <v>Thu</v>
      </c>
    </row>
    <row r="721" spans="1:13" x14ac:dyDescent="0.35">
      <c r="A721" s="4">
        <v>45933</v>
      </c>
      <c r="B721" s="2">
        <v>1471.165</v>
      </c>
      <c r="C721" s="2">
        <v>1469.73</v>
      </c>
      <c r="D721" s="2">
        <v>1471.51</v>
      </c>
      <c r="E721" s="2">
        <v>1460.0650000000001</v>
      </c>
      <c r="F721" s="1">
        <v>1E-3</v>
      </c>
      <c r="G721" s="2">
        <f t="shared" si="66"/>
        <v>2025</v>
      </c>
      <c r="H721" s="2" t="str">
        <f t="shared" si="67"/>
        <v>Oct</v>
      </c>
      <c r="I721" s="2">
        <f t="shared" si="68"/>
        <v>10</v>
      </c>
      <c r="J721" s="2" t="str">
        <f t="shared" si="69"/>
        <v>2025-10</v>
      </c>
      <c r="K721" s="2">
        <f t="shared" si="70"/>
        <v>40</v>
      </c>
      <c r="L721" s="2">
        <f ca="1">AVERAGE(OFFSET(USD_NGN_Historical_Data__17[[#This Row],[Rate]], -6, 0, 7, 1))</f>
        <v>1481.3114285714287</v>
      </c>
      <c r="M721" s="2" t="str">
        <f t="shared" si="71"/>
        <v>Fri</v>
      </c>
    </row>
    <row r="722" spans="1:13" x14ac:dyDescent="0.35">
      <c r="A722" s="4">
        <v>45936</v>
      </c>
      <c r="B722" s="2">
        <v>1471.2</v>
      </c>
      <c r="C722" s="2">
        <v>1461.53</v>
      </c>
      <c r="D722" s="2">
        <v>1472.6949999999999</v>
      </c>
      <c r="E722" s="2">
        <v>1460.2149999999999</v>
      </c>
      <c r="F722" s="1">
        <v>0</v>
      </c>
      <c r="G722" s="2">
        <f t="shared" si="66"/>
        <v>2025</v>
      </c>
      <c r="H722" s="2" t="str">
        <f t="shared" si="67"/>
        <v>Oct</v>
      </c>
      <c r="I722" s="2">
        <f t="shared" si="68"/>
        <v>10</v>
      </c>
      <c r="J722" s="2" t="str">
        <f t="shared" si="69"/>
        <v>2025-10</v>
      </c>
      <c r="K722" s="2">
        <f t="shared" si="70"/>
        <v>41</v>
      </c>
      <c r="L722" s="2">
        <f ca="1">AVERAGE(OFFSET(USD_NGN_Historical_Data__17[[#This Row],[Rate]], -6, 0, 7, 1))</f>
        <v>1478.6228571428571</v>
      </c>
      <c r="M722" s="2" t="str">
        <f t="shared" si="71"/>
        <v>Mon</v>
      </c>
    </row>
    <row r="723" spans="1:13" x14ac:dyDescent="0.35">
      <c r="A723" s="4">
        <v>45937</v>
      </c>
      <c r="B723" s="2">
        <v>1470.7750000000001</v>
      </c>
      <c r="C723" s="2">
        <v>1466.2</v>
      </c>
      <c r="D723" s="2">
        <v>1475.385</v>
      </c>
      <c r="E723" s="2">
        <v>1464.73</v>
      </c>
      <c r="F723" s="1">
        <v>-2.9999999999999997E-4</v>
      </c>
      <c r="G723" s="2">
        <f t="shared" si="66"/>
        <v>2025</v>
      </c>
      <c r="H723" s="2" t="str">
        <f t="shared" si="67"/>
        <v>Oct</v>
      </c>
      <c r="I723" s="2">
        <f t="shared" si="68"/>
        <v>10</v>
      </c>
      <c r="J723" s="2" t="str">
        <f t="shared" si="69"/>
        <v>2025-10</v>
      </c>
      <c r="K723" s="2">
        <f t="shared" si="70"/>
        <v>41</v>
      </c>
      <c r="L723" s="2">
        <f ca="1">AVERAGE(OFFSET(USD_NGN_Historical_Data__17[[#This Row],[Rate]], -6, 0, 7, 1))</f>
        <v>1476.4164285714285</v>
      </c>
      <c r="M723" s="2" t="str">
        <f t="shared" si="71"/>
        <v>Tue</v>
      </c>
    </row>
    <row r="724" spans="1:13" x14ac:dyDescent="0.35">
      <c r="A724" s="4">
        <v>45938</v>
      </c>
      <c r="B724" s="2">
        <v>1473</v>
      </c>
      <c r="C724" s="2">
        <v>1470.7750000000001</v>
      </c>
      <c r="D724" s="2">
        <v>1475.2149999999999</v>
      </c>
      <c r="E724" s="2">
        <v>1465.75</v>
      </c>
      <c r="F724" s="1">
        <v>1.5E-3</v>
      </c>
      <c r="G724" s="2">
        <f t="shared" si="66"/>
        <v>2025</v>
      </c>
      <c r="H724" s="2" t="str">
        <f t="shared" si="67"/>
        <v>Oct</v>
      </c>
      <c r="I724" s="2">
        <f t="shared" si="68"/>
        <v>10</v>
      </c>
      <c r="J724" s="2" t="str">
        <f t="shared" si="69"/>
        <v>2025-10</v>
      </c>
      <c r="K724" s="2">
        <f t="shared" si="70"/>
        <v>41</v>
      </c>
      <c r="L724" s="2">
        <f ca="1">AVERAGE(OFFSET(USD_NGN_Historical_Data__17[[#This Row],[Rate]], -6, 0, 7, 1))</f>
        <v>1474.6057142857142</v>
      </c>
      <c r="M724" s="2" t="str">
        <f t="shared" si="71"/>
        <v>Wed</v>
      </c>
    </row>
    <row r="725" spans="1:13" x14ac:dyDescent="0.35">
      <c r="A725" s="4">
        <v>45939</v>
      </c>
      <c r="B725" s="2">
        <v>1475.835</v>
      </c>
      <c r="C725" s="2">
        <v>1470.6</v>
      </c>
      <c r="D725" s="2">
        <v>1476.2249999999999</v>
      </c>
      <c r="E725" s="2">
        <v>1467.76</v>
      </c>
      <c r="F725" s="1">
        <v>1.9E-3</v>
      </c>
      <c r="G725" s="2">
        <f t="shared" si="66"/>
        <v>2025</v>
      </c>
      <c r="H725" s="2" t="str">
        <f t="shared" si="67"/>
        <v>Oct</v>
      </c>
      <c r="I725" s="2">
        <f t="shared" si="68"/>
        <v>10</v>
      </c>
      <c r="J725" s="2" t="str">
        <f t="shared" si="69"/>
        <v>2025-10</v>
      </c>
      <c r="K725" s="2">
        <f t="shared" si="70"/>
        <v>41</v>
      </c>
      <c r="L725" s="2">
        <f ca="1">AVERAGE(OFFSET(USD_NGN_Historical_Data__17[[#This Row],[Rate]], -6, 0, 7, 1))</f>
        <v>1473.5571428571432</v>
      </c>
      <c r="M725" s="2" t="str">
        <f t="shared" si="71"/>
        <v>Thu</v>
      </c>
    </row>
    <row r="726" spans="1:13" x14ac:dyDescent="0.35">
      <c r="A726" s="4">
        <v>45940</v>
      </c>
      <c r="B726" s="2">
        <v>1462.11</v>
      </c>
      <c r="C726" s="2">
        <v>1475.8150000000001</v>
      </c>
      <c r="D726" s="2">
        <v>1503.75</v>
      </c>
      <c r="E726" s="2">
        <v>1457.7650000000001</v>
      </c>
      <c r="F726" s="1">
        <v>-9.2999999999999992E-3</v>
      </c>
      <c r="G726" s="2">
        <f t="shared" si="66"/>
        <v>2025</v>
      </c>
      <c r="H726" s="2" t="str">
        <f t="shared" si="67"/>
        <v>Oct</v>
      </c>
      <c r="I726" s="2">
        <f t="shared" si="68"/>
        <v>10</v>
      </c>
      <c r="J726" s="2" t="str">
        <f t="shared" si="69"/>
        <v>2025-10</v>
      </c>
      <c r="K726" s="2">
        <f t="shared" si="70"/>
        <v>41</v>
      </c>
      <c r="L726" s="2">
        <f ca="1">AVERAGE(OFFSET(USD_NGN_Historical_Data__17[[#This Row],[Rate]], -6, 0, 7, 1))</f>
        <v>1470.5450000000003</v>
      </c>
      <c r="M726" s="2" t="str">
        <f t="shared" si="71"/>
        <v>Fri</v>
      </c>
    </row>
    <row r="727" spans="1:13" x14ac:dyDescent="0.35">
      <c r="A727" s="4">
        <v>45943</v>
      </c>
      <c r="B727" s="2">
        <v>1460.1849999999999</v>
      </c>
      <c r="C727" s="2">
        <v>1459.73</v>
      </c>
      <c r="D727" s="2">
        <v>1464.5</v>
      </c>
      <c r="E727" s="2">
        <v>1454.17</v>
      </c>
      <c r="F727" s="1">
        <v>-1.2999999999999999E-3</v>
      </c>
      <c r="G727" s="2">
        <f t="shared" si="66"/>
        <v>2025</v>
      </c>
      <c r="H727" s="2" t="str">
        <f t="shared" si="67"/>
        <v>Oct</v>
      </c>
      <c r="I727" s="2">
        <f t="shared" si="68"/>
        <v>10</v>
      </c>
      <c r="J727" s="2" t="str">
        <f t="shared" si="69"/>
        <v>2025-10</v>
      </c>
      <c r="K727" s="2">
        <f t="shared" si="70"/>
        <v>42</v>
      </c>
      <c r="L727" s="2">
        <f ca="1">AVERAGE(OFFSET(USD_NGN_Historical_Data__17[[#This Row],[Rate]], -6, 0, 7, 1))</f>
        <v>1469.1814285714283</v>
      </c>
      <c r="M727" s="2" t="str">
        <f t="shared" si="71"/>
        <v>Mon</v>
      </c>
    </row>
    <row r="728" spans="1:13" x14ac:dyDescent="0.35">
      <c r="A728" s="4">
        <v>45944</v>
      </c>
      <c r="B728" s="2">
        <v>1458.35</v>
      </c>
      <c r="C728" s="2">
        <v>1459.9649999999999</v>
      </c>
      <c r="D728" s="2">
        <v>1465.53</v>
      </c>
      <c r="E728" s="2">
        <v>1454.17</v>
      </c>
      <c r="F728" s="1">
        <v>-1.2999999999999999E-3</v>
      </c>
      <c r="G728" s="2">
        <f t="shared" si="66"/>
        <v>2025</v>
      </c>
      <c r="H728" s="2" t="str">
        <f t="shared" si="67"/>
        <v>Oct</v>
      </c>
      <c r="I728" s="2">
        <f t="shared" si="68"/>
        <v>10</v>
      </c>
      <c r="J728" s="2" t="str">
        <f t="shared" si="69"/>
        <v>2025-10</v>
      </c>
      <c r="K728" s="2">
        <f t="shared" si="70"/>
        <v>42</v>
      </c>
      <c r="L728" s="2">
        <f ca="1">AVERAGE(OFFSET(USD_NGN_Historical_Data__17[[#This Row],[Rate]], -6, 0, 7, 1))</f>
        <v>1467.3507142857143</v>
      </c>
      <c r="M728" s="2" t="str">
        <f t="shared" si="71"/>
        <v>Tue</v>
      </c>
    </row>
    <row r="729" spans="1:13" x14ac:dyDescent="0.35">
      <c r="A729" s="4">
        <v>45945</v>
      </c>
      <c r="B729" s="2">
        <v>1468.68</v>
      </c>
      <c r="C729" s="2">
        <v>1460.63</v>
      </c>
      <c r="D729" s="2">
        <v>1468.68</v>
      </c>
      <c r="E729" s="2">
        <v>1456.5</v>
      </c>
      <c r="F729" s="1">
        <v>7.1000000000000004E-3</v>
      </c>
      <c r="G729" s="2">
        <f t="shared" si="66"/>
        <v>2025</v>
      </c>
      <c r="H729" s="2" t="str">
        <f t="shared" si="67"/>
        <v>Oct</v>
      </c>
      <c r="I729" s="2">
        <f t="shared" si="68"/>
        <v>10</v>
      </c>
      <c r="J729" s="2" t="str">
        <f t="shared" si="69"/>
        <v>2025-10</v>
      </c>
      <c r="K729" s="2">
        <f t="shared" si="70"/>
        <v>42</v>
      </c>
      <c r="L729" s="2">
        <f ca="1">AVERAGE(OFFSET(USD_NGN_Historical_Data__17[[#This Row],[Rate]], -6, 0, 7, 1))</f>
        <v>1466.9907142857144</v>
      </c>
      <c r="M729" s="2" t="str">
        <f t="shared" si="71"/>
        <v>Wed</v>
      </c>
    </row>
    <row r="730" spans="1:13" x14ac:dyDescent="0.35">
      <c r="A730" s="4">
        <v>45946</v>
      </c>
      <c r="B730" s="2">
        <v>1469.13</v>
      </c>
      <c r="C730" s="2">
        <v>1468.83</v>
      </c>
      <c r="D730" s="2">
        <v>1471.085</v>
      </c>
      <c r="E730" s="2">
        <v>1461.57</v>
      </c>
      <c r="F730" s="1">
        <v>2.9999999999999997E-4</v>
      </c>
      <c r="G730" s="2">
        <f t="shared" si="66"/>
        <v>2025</v>
      </c>
      <c r="H730" s="2" t="str">
        <f t="shared" si="67"/>
        <v>Oct</v>
      </c>
      <c r="I730" s="2">
        <f t="shared" si="68"/>
        <v>10</v>
      </c>
      <c r="J730" s="2" t="str">
        <f t="shared" si="69"/>
        <v>2025-10</v>
      </c>
      <c r="K730" s="2">
        <f t="shared" si="70"/>
        <v>42</v>
      </c>
      <c r="L730" s="2">
        <f ca="1">AVERAGE(OFFSET(USD_NGN_Historical_Data__17[[#This Row],[Rate]], -6, 0, 7, 1))</f>
        <v>1466.7557142857145</v>
      </c>
      <c r="M730" s="2" t="str">
        <f t="shared" si="71"/>
        <v>Thu</v>
      </c>
    </row>
    <row r="731" spans="1:13" x14ac:dyDescent="0.35">
      <c r="A731" s="4">
        <v>45947</v>
      </c>
      <c r="B731" s="2">
        <v>1469.4</v>
      </c>
      <c r="C731" s="2">
        <v>1469.67</v>
      </c>
      <c r="D731" s="2">
        <v>1475.17</v>
      </c>
      <c r="E731" s="2">
        <v>1463</v>
      </c>
      <c r="F731" s="1">
        <v>2.0000000000000001E-4</v>
      </c>
      <c r="G731" s="2">
        <f t="shared" si="66"/>
        <v>2025</v>
      </c>
      <c r="H731" s="2" t="str">
        <f t="shared" si="67"/>
        <v>Oct</v>
      </c>
      <c r="I731" s="2">
        <f t="shared" si="68"/>
        <v>10</v>
      </c>
      <c r="J731" s="2" t="str">
        <f t="shared" si="69"/>
        <v>2025-10</v>
      </c>
      <c r="K731" s="2">
        <f t="shared" si="70"/>
        <v>42</v>
      </c>
      <c r="L731" s="2">
        <f ca="1">AVERAGE(OFFSET(USD_NGN_Historical_Data__17[[#This Row],[Rate]], -6, 0, 7, 1))</f>
        <v>1466.2414285714287</v>
      </c>
      <c r="M731" s="2" t="str">
        <f t="shared" si="71"/>
        <v>Fri</v>
      </c>
    </row>
    <row r="732" spans="1:13" x14ac:dyDescent="0.35">
      <c r="A732" s="4">
        <v>45950</v>
      </c>
      <c r="B732" s="2">
        <v>1465.77</v>
      </c>
      <c r="C732" s="2">
        <v>1468.99</v>
      </c>
      <c r="D732" s="2">
        <v>1475.87</v>
      </c>
      <c r="E732" s="2">
        <v>1465.0650000000001</v>
      </c>
      <c r="F732" s="1">
        <v>-2.5000000000000001E-3</v>
      </c>
      <c r="G732" s="2">
        <f t="shared" si="66"/>
        <v>2025</v>
      </c>
      <c r="H732" s="2" t="str">
        <f t="shared" si="67"/>
        <v>Oct</v>
      </c>
      <c r="I732" s="2">
        <f t="shared" si="68"/>
        <v>10</v>
      </c>
      <c r="J732" s="2" t="str">
        <f t="shared" si="69"/>
        <v>2025-10</v>
      </c>
      <c r="K732" s="2">
        <f t="shared" si="70"/>
        <v>43</v>
      </c>
      <c r="L732" s="2">
        <f ca="1">AVERAGE(OFFSET(USD_NGN_Historical_Data__17[[#This Row],[Rate]], -6, 0, 7, 1))</f>
        <v>1464.8035714285718</v>
      </c>
      <c r="M732" s="2" t="str">
        <f t="shared" si="71"/>
        <v>Mon</v>
      </c>
    </row>
    <row r="733" spans="1:13" x14ac:dyDescent="0.35">
      <c r="A733" s="4">
        <v>45951</v>
      </c>
      <c r="B733" s="2">
        <v>1465.04</v>
      </c>
      <c r="C733" s="2">
        <v>1466.38</v>
      </c>
      <c r="D733" s="2">
        <v>1470.925</v>
      </c>
      <c r="E733" s="2">
        <v>1463.04</v>
      </c>
      <c r="F733" s="1">
        <v>-5.0000000000000001E-4</v>
      </c>
      <c r="G733" s="2">
        <f t="shared" si="66"/>
        <v>2025</v>
      </c>
      <c r="H733" s="2" t="str">
        <f t="shared" si="67"/>
        <v>Oct</v>
      </c>
      <c r="I733" s="2">
        <f t="shared" si="68"/>
        <v>10</v>
      </c>
      <c r="J733" s="2" t="str">
        <f t="shared" si="69"/>
        <v>2025-10</v>
      </c>
      <c r="K733" s="2">
        <f t="shared" si="70"/>
        <v>43</v>
      </c>
      <c r="L733" s="2">
        <f ca="1">AVERAGE(OFFSET(USD_NGN_Historical_Data__17[[#This Row],[Rate]], -6, 0, 7, 1))</f>
        <v>1465.2221428571429</v>
      </c>
      <c r="M733" s="2" t="str">
        <f t="shared" si="71"/>
        <v>Tue</v>
      </c>
    </row>
    <row r="734" spans="1:13" x14ac:dyDescent="0.35">
      <c r="A734" s="4">
        <v>45952</v>
      </c>
      <c r="B734" s="2">
        <v>1463.45</v>
      </c>
      <c r="C734" s="2">
        <v>1465.0450000000001</v>
      </c>
      <c r="D734" s="2">
        <v>1468.5</v>
      </c>
      <c r="E734" s="2">
        <v>1462.65</v>
      </c>
      <c r="F734" s="1">
        <v>-1.1000000000000001E-3</v>
      </c>
      <c r="G734" s="2">
        <f t="shared" si="66"/>
        <v>2025</v>
      </c>
      <c r="H734" s="2" t="str">
        <f t="shared" si="67"/>
        <v>Oct</v>
      </c>
      <c r="I734" s="2">
        <f t="shared" si="68"/>
        <v>10</v>
      </c>
      <c r="J734" s="2" t="str">
        <f t="shared" si="69"/>
        <v>2025-10</v>
      </c>
      <c r="K734" s="2">
        <f t="shared" si="70"/>
        <v>43</v>
      </c>
      <c r="L734" s="2">
        <f ca="1">AVERAGE(OFFSET(USD_NGN_Historical_Data__17[[#This Row],[Rate]], -6, 0, 7, 1))</f>
        <v>1465.6885714285713</v>
      </c>
      <c r="M734" s="2" t="str">
        <f t="shared" si="71"/>
        <v>Wed</v>
      </c>
    </row>
    <row r="735" spans="1:13" x14ac:dyDescent="0.35">
      <c r="A735" s="4">
        <v>45953</v>
      </c>
      <c r="B735" s="2">
        <v>1463.87</v>
      </c>
      <c r="C735" s="2">
        <v>1463.69</v>
      </c>
      <c r="D735" s="2">
        <v>1466.5</v>
      </c>
      <c r="E735" s="2">
        <v>1458.605</v>
      </c>
      <c r="F735" s="1">
        <v>2.9999999999999997E-4</v>
      </c>
      <c r="G735" s="2">
        <f t="shared" si="66"/>
        <v>2025</v>
      </c>
      <c r="H735" s="2" t="str">
        <f t="shared" si="67"/>
        <v>Oct</v>
      </c>
      <c r="I735" s="2">
        <f t="shared" si="68"/>
        <v>10</v>
      </c>
      <c r="J735" s="2" t="str">
        <f t="shared" si="69"/>
        <v>2025-10</v>
      </c>
      <c r="K735" s="2">
        <f t="shared" si="70"/>
        <v>43</v>
      </c>
      <c r="L735" s="2">
        <f ca="1">AVERAGE(OFFSET(USD_NGN_Historical_Data__17[[#This Row],[Rate]], -6, 0, 7, 1))</f>
        <v>1466.4771428571428</v>
      </c>
      <c r="M735" s="2" t="str">
        <f t="shared" si="71"/>
        <v>Thu</v>
      </c>
    </row>
    <row r="736" spans="1:13" x14ac:dyDescent="0.35">
      <c r="A736" s="4">
        <v>45954</v>
      </c>
      <c r="B736" s="2">
        <v>1460.4649999999999</v>
      </c>
      <c r="C736" s="2">
        <v>1463.86</v>
      </c>
      <c r="D736" s="2">
        <v>1464.415</v>
      </c>
      <c r="E736" s="2">
        <v>1457.9949999999999</v>
      </c>
      <c r="F736" s="1">
        <v>-2.3E-3</v>
      </c>
      <c r="G736" s="2">
        <f t="shared" si="66"/>
        <v>2025</v>
      </c>
      <c r="H736" s="2" t="str">
        <f t="shared" si="67"/>
        <v>Oct</v>
      </c>
      <c r="I736" s="2">
        <f t="shared" si="68"/>
        <v>10</v>
      </c>
      <c r="J736" s="2" t="str">
        <f t="shared" si="69"/>
        <v>2025-10</v>
      </c>
      <c r="K736" s="2">
        <f t="shared" si="70"/>
        <v>43</v>
      </c>
      <c r="L736" s="2">
        <f ca="1">AVERAGE(OFFSET(USD_NGN_Historical_Data__17[[#This Row],[Rate]], -6, 0, 7, 1))</f>
        <v>1465.3035714285713</v>
      </c>
      <c r="M736" s="2" t="str">
        <f t="shared" si="71"/>
        <v>Fri</v>
      </c>
    </row>
    <row r="737" spans="1:13" x14ac:dyDescent="0.35">
      <c r="A737" s="4">
        <v>45957</v>
      </c>
      <c r="B737" s="2">
        <v>1458.2449999999999</v>
      </c>
      <c r="C737" s="2">
        <v>1459.78</v>
      </c>
      <c r="D737" s="2">
        <v>1464.94</v>
      </c>
      <c r="E737" s="2">
        <v>1454.905</v>
      </c>
      <c r="F737" s="1">
        <v>-1.5E-3</v>
      </c>
      <c r="G737" s="2">
        <f t="shared" si="66"/>
        <v>2025</v>
      </c>
      <c r="H737" s="2" t="str">
        <f t="shared" si="67"/>
        <v>Oct</v>
      </c>
      <c r="I737" s="2">
        <f t="shared" si="68"/>
        <v>10</v>
      </c>
      <c r="J737" s="2" t="str">
        <f t="shared" si="69"/>
        <v>2025-10</v>
      </c>
      <c r="K737" s="2">
        <f t="shared" si="70"/>
        <v>44</v>
      </c>
      <c r="L737" s="2">
        <f ca="1">AVERAGE(OFFSET(USD_NGN_Historical_Data__17[[#This Row],[Rate]], -6, 0, 7, 1))</f>
        <v>1463.748571428571</v>
      </c>
      <c r="M737" s="2" t="str">
        <f t="shared" si="71"/>
        <v>Mon</v>
      </c>
    </row>
    <row r="738" spans="1:13" x14ac:dyDescent="0.35">
      <c r="A738" s="4">
        <v>45958</v>
      </c>
      <c r="B738" s="2">
        <v>1454.98</v>
      </c>
      <c r="C738" s="2">
        <v>1458.24</v>
      </c>
      <c r="D738" s="2">
        <v>1460.28</v>
      </c>
      <c r="E738" s="2">
        <v>1449.97</v>
      </c>
      <c r="F738" s="1">
        <v>-2.2000000000000001E-3</v>
      </c>
      <c r="G738" s="2">
        <f t="shared" si="66"/>
        <v>2025</v>
      </c>
      <c r="H738" s="2" t="str">
        <f t="shared" si="67"/>
        <v>Oct</v>
      </c>
      <c r="I738" s="2">
        <f t="shared" si="68"/>
        <v>10</v>
      </c>
      <c r="J738" s="2" t="str">
        <f t="shared" si="69"/>
        <v>2025-10</v>
      </c>
      <c r="K738" s="2">
        <f t="shared" si="70"/>
        <v>44</v>
      </c>
      <c r="L738" s="2">
        <f ca="1">AVERAGE(OFFSET(USD_NGN_Historical_Data__17[[#This Row],[Rate]], -6, 0, 7, 1))</f>
        <v>1461.6885714285713</v>
      </c>
      <c r="M738" s="2" t="str">
        <f t="shared" si="71"/>
        <v>Tue</v>
      </c>
    </row>
    <row r="739" spans="1:13" x14ac:dyDescent="0.35">
      <c r="A739" s="4">
        <v>45959</v>
      </c>
      <c r="B739" s="2">
        <v>1448.73</v>
      </c>
      <c r="C739" s="2">
        <v>1455.08</v>
      </c>
      <c r="D739" s="2">
        <v>1456.2049999999999</v>
      </c>
      <c r="E739" s="2">
        <v>1445.9349999999999</v>
      </c>
      <c r="F739" s="1">
        <v>-4.3E-3</v>
      </c>
      <c r="G739" s="2">
        <f t="shared" si="66"/>
        <v>2025</v>
      </c>
      <c r="H739" s="2" t="str">
        <f t="shared" si="67"/>
        <v>Oct</v>
      </c>
      <c r="I739" s="2">
        <f t="shared" si="68"/>
        <v>10</v>
      </c>
      <c r="J739" s="2" t="str">
        <f t="shared" si="69"/>
        <v>2025-10</v>
      </c>
      <c r="K739" s="2">
        <f t="shared" si="70"/>
        <v>44</v>
      </c>
      <c r="L739" s="2">
        <f ca="1">AVERAGE(OFFSET(USD_NGN_Historical_Data__17[[#This Row],[Rate]], -6, 0, 7, 1))</f>
        <v>1459.2542857142855</v>
      </c>
      <c r="M739" s="2" t="str">
        <f t="shared" si="71"/>
        <v>Wed</v>
      </c>
    </row>
    <row r="740" spans="1:13" x14ac:dyDescent="0.35">
      <c r="A740" s="4">
        <v>45960</v>
      </c>
      <c r="B740" s="2">
        <v>1442.29</v>
      </c>
      <c r="C740" s="2">
        <v>1448.85</v>
      </c>
      <c r="D740" s="2">
        <v>1459.335</v>
      </c>
      <c r="E740" s="2">
        <v>1441.45</v>
      </c>
      <c r="F740" s="1">
        <v>-4.4000000000000003E-3</v>
      </c>
      <c r="G740" s="2">
        <f t="shared" si="66"/>
        <v>2025</v>
      </c>
      <c r="H740" s="2" t="str">
        <f t="shared" si="67"/>
        <v>Oct</v>
      </c>
      <c r="I740" s="2">
        <f t="shared" si="68"/>
        <v>10</v>
      </c>
      <c r="J740" s="2" t="str">
        <f t="shared" si="69"/>
        <v>2025-10</v>
      </c>
      <c r="K740" s="2">
        <f t="shared" si="70"/>
        <v>44</v>
      </c>
      <c r="L740" s="2">
        <f ca="1">AVERAGE(OFFSET(USD_NGN_Historical_Data__17[[#This Row],[Rate]], -6, 0, 7, 1))</f>
        <v>1456.0042857142855</v>
      </c>
      <c r="M740" s="2" t="str">
        <f t="shared" si="71"/>
        <v>Thu</v>
      </c>
    </row>
    <row r="741" spans="1:13" x14ac:dyDescent="0.35">
      <c r="A741" s="4">
        <v>45961</v>
      </c>
      <c r="B741" s="2">
        <v>1446.81</v>
      </c>
      <c r="C741" s="2">
        <v>1443.3050000000001</v>
      </c>
      <c r="D741" s="2">
        <v>1451.97</v>
      </c>
      <c r="E741" s="2">
        <v>1429.15</v>
      </c>
      <c r="F741" s="1">
        <v>3.0999999999999999E-3</v>
      </c>
      <c r="G741" s="2">
        <f t="shared" si="66"/>
        <v>2025</v>
      </c>
      <c r="H741" s="2" t="str">
        <f t="shared" si="67"/>
        <v>Oct</v>
      </c>
      <c r="I741" s="2">
        <f t="shared" si="68"/>
        <v>10</v>
      </c>
      <c r="J741" s="2" t="str">
        <f t="shared" si="69"/>
        <v>2025-10</v>
      </c>
      <c r="K741" s="2">
        <f t="shared" si="70"/>
        <v>44</v>
      </c>
      <c r="L741" s="2">
        <f ca="1">AVERAGE(OFFSET(USD_NGN_Historical_Data__17[[#This Row],[Rate]], -6, 0, 7, 1))</f>
        <v>1453.6271428571424</v>
      </c>
      <c r="M741" s="2" t="str">
        <f t="shared" si="71"/>
        <v>Fri</v>
      </c>
    </row>
    <row r="742" spans="1:13" x14ac:dyDescent="0.35">
      <c r="A742" s="4">
        <v>45964</v>
      </c>
      <c r="B742" s="2">
        <v>1441.41</v>
      </c>
      <c r="C742" s="2">
        <v>1446.81</v>
      </c>
      <c r="D742" s="2">
        <v>1454.625</v>
      </c>
      <c r="E742" s="2">
        <v>1425.1</v>
      </c>
      <c r="F742" s="1">
        <v>-3.7000000000000002E-3</v>
      </c>
      <c r="G742" s="2">
        <f t="shared" si="66"/>
        <v>2025</v>
      </c>
      <c r="H742" s="2" t="str">
        <f t="shared" si="67"/>
        <v>Nov</v>
      </c>
      <c r="I742" s="2">
        <f t="shared" si="68"/>
        <v>11</v>
      </c>
      <c r="J742" s="2" t="str">
        <f t="shared" si="69"/>
        <v>2025-11</v>
      </c>
      <c r="K742" s="2">
        <f t="shared" si="70"/>
        <v>45</v>
      </c>
      <c r="L742" s="2">
        <f ca="1">AVERAGE(OFFSET(USD_NGN_Historical_Data__17[[#This Row],[Rate]], -6, 0, 7, 1))</f>
        <v>1450.4185714285716</v>
      </c>
      <c r="M742" s="2" t="str">
        <f t="shared" si="71"/>
        <v>Mon</v>
      </c>
    </row>
    <row r="743" spans="1:13" x14ac:dyDescent="0.35">
      <c r="A743" s="4">
        <v>45965</v>
      </c>
      <c r="B743" s="2">
        <v>1442.04</v>
      </c>
      <c r="C743" s="2">
        <v>1441.35</v>
      </c>
      <c r="D743" s="2">
        <v>1442.61</v>
      </c>
      <c r="E743" s="2">
        <v>1435.19</v>
      </c>
      <c r="F743" s="1">
        <v>4.0000000000000002E-4</v>
      </c>
      <c r="G743" s="2">
        <f t="shared" si="66"/>
        <v>2025</v>
      </c>
      <c r="H743" s="2" t="str">
        <f t="shared" si="67"/>
        <v>Nov</v>
      </c>
      <c r="I743" s="2">
        <f t="shared" si="68"/>
        <v>11</v>
      </c>
      <c r="J743" s="2" t="str">
        <f t="shared" si="69"/>
        <v>2025-11</v>
      </c>
      <c r="K743" s="2">
        <f t="shared" si="70"/>
        <v>45</v>
      </c>
      <c r="L743" s="2">
        <f ca="1">AVERAGE(OFFSET(USD_NGN_Historical_Data__17[[#This Row],[Rate]], -6, 0, 7, 1))</f>
        <v>1447.7864285714288</v>
      </c>
      <c r="M743" s="2" t="str">
        <f t="shared" si="71"/>
        <v>Tue</v>
      </c>
    </row>
    <row r="744" spans="1:13" x14ac:dyDescent="0.35">
      <c r="A744" s="4">
        <v>45966</v>
      </c>
      <c r="B744" s="2">
        <v>1441.0150000000001</v>
      </c>
      <c r="C744" s="2">
        <v>1440.65</v>
      </c>
      <c r="D744" s="2">
        <v>1443.14</v>
      </c>
      <c r="E744" s="2">
        <v>1434.94</v>
      </c>
      <c r="F744" s="1">
        <v>-6.9999999999999999E-4</v>
      </c>
      <c r="G744" s="2">
        <f t="shared" si="66"/>
        <v>2025</v>
      </c>
      <c r="H744" s="2" t="str">
        <f t="shared" si="67"/>
        <v>Nov</v>
      </c>
      <c r="I744" s="2">
        <f t="shared" si="68"/>
        <v>11</v>
      </c>
      <c r="J744" s="2" t="str">
        <f t="shared" si="69"/>
        <v>2025-11</v>
      </c>
      <c r="K744" s="2">
        <f t="shared" si="70"/>
        <v>45</v>
      </c>
      <c r="L744" s="2">
        <f ca="1">AVERAGE(OFFSET(USD_NGN_Historical_Data__17[[#This Row],[Rate]], -6, 0, 7, 1))</f>
        <v>1445.3249999999996</v>
      </c>
      <c r="M744" s="2" t="str">
        <f t="shared" si="71"/>
        <v>Wed</v>
      </c>
    </row>
    <row r="745" spans="1:13" x14ac:dyDescent="0.35">
      <c r="A745" s="4">
        <v>45967</v>
      </c>
      <c r="B745" s="2">
        <v>1437.825</v>
      </c>
      <c r="C745" s="2">
        <v>1441.05</v>
      </c>
      <c r="D745" s="2">
        <v>1443.5650000000001</v>
      </c>
      <c r="E745" s="2">
        <v>1434.47</v>
      </c>
      <c r="F745" s="1">
        <v>-2.2000000000000001E-3</v>
      </c>
      <c r="G745" s="2">
        <f t="shared" si="66"/>
        <v>2025</v>
      </c>
      <c r="H745" s="2" t="str">
        <f t="shared" si="67"/>
        <v>Nov</v>
      </c>
      <c r="I745" s="2">
        <f t="shared" si="68"/>
        <v>11</v>
      </c>
      <c r="J745" s="2" t="str">
        <f t="shared" si="69"/>
        <v>2025-11</v>
      </c>
      <c r="K745" s="2">
        <f t="shared" si="70"/>
        <v>45</v>
      </c>
      <c r="L745" s="2">
        <f ca="1">AVERAGE(OFFSET(USD_NGN_Historical_Data__17[[#This Row],[Rate]], -6, 0, 7, 1))</f>
        <v>1442.8742857142859</v>
      </c>
      <c r="M745" s="2" t="str">
        <f t="shared" si="71"/>
        <v>Thu</v>
      </c>
    </row>
    <row r="746" spans="1:13" x14ac:dyDescent="0.35">
      <c r="A746" s="4">
        <v>45968</v>
      </c>
      <c r="B746" s="2">
        <v>1435.03</v>
      </c>
      <c r="C746" s="2">
        <v>1435.3</v>
      </c>
      <c r="D746" s="2">
        <v>1439.2249999999999</v>
      </c>
      <c r="E746" s="2">
        <v>1433.7</v>
      </c>
      <c r="F746" s="1">
        <v>-1.9E-3</v>
      </c>
      <c r="G746" s="2">
        <f t="shared" si="66"/>
        <v>2025</v>
      </c>
      <c r="H746" s="2" t="str">
        <f t="shared" si="67"/>
        <v>Nov</v>
      </c>
      <c r="I746" s="2">
        <f t="shared" si="68"/>
        <v>11</v>
      </c>
      <c r="J746" s="2" t="str">
        <f t="shared" si="69"/>
        <v>2025-11</v>
      </c>
      <c r="K746" s="2">
        <f t="shared" si="70"/>
        <v>45</v>
      </c>
      <c r="L746" s="2">
        <f ca="1">AVERAGE(OFFSET(USD_NGN_Historical_Data__17[[#This Row],[Rate]], -6, 0, 7, 1))</f>
        <v>1440.9171428571431</v>
      </c>
      <c r="M746" s="2" t="str">
        <f t="shared" si="71"/>
        <v>Fri</v>
      </c>
    </row>
    <row r="747" spans="1:13" x14ac:dyDescent="0.35">
      <c r="A747" s="4">
        <v>45971</v>
      </c>
      <c r="B747" s="2">
        <v>1438.4949999999999</v>
      </c>
      <c r="C747" s="2">
        <v>1435.03</v>
      </c>
      <c r="D747" s="2">
        <v>1440.8150000000001</v>
      </c>
      <c r="E747" s="2">
        <v>1433.84</v>
      </c>
      <c r="F747" s="1">
        <v>2.3999999999999998E-3</v>
      </c>
      <c r="G747" s="2">
        <f t="shared" si="66"/>
        <v>2025</v>
      </c>
      <c r="H747" s="2" t="str">
        <f t="shared" si="67"/>
        <v>Nov</v>
      </c>
      <c r="I747" s="2">
        <f t="shared" si="68"/>
        <v>11</v>
      </c>
      <c r="J747" s="2" t="str">
        <f t="shared" si="69"/>
        <v>2025-11</v>
      </c>
      <c r="K747" s="2">
        <f t="shared" si="70"/>
        <v>46</v>
      </c>
      <c r="L747" s="2">
        <f ca="1">AVERAGE(OFFSET(USD_NGN_Historical_Data__17[[#This Row],[Rate]], -6, 0, 7, 1))</f>
        <v>1440.375</v>
      </c>
      <c r="M747" s="2" t="str">
        <f t="shared" si="71"/>
        <v>Mon</v>
      </c>
    </row>
    <row r="748" spans="1:13" x14ac:dyDescent="0.35">
      <c r="A748" s="4">
        <v>45972</v>
      </c>
      <c r="B748" s="2">
        <v>1439.56</v>
      </c>
      <c r="C748" s="2">
        <v>1438.5</v>
      </c>
      <c r="D748" s="2">
        <v>1441.0550000000001</v>
      </c>
      <c r="E748" s="2">
        <v>1434.92</v>
      </c>
      <c r="F748" s="1">
        <v>6.9999999999999999E-4</v>
      </c>
      <c r="G748" s="2">
        <f t="shared" si="66"/>
        <v>2025</v>
      </c>
      <c r="H748" s="2" t="str">
        <f t="shared" si="67"/>
        <v>Nov</v>
      </c>
      <c r="I748" s="2">
        <f t="shared" si="68"/>
        <v>11</v>
      </c>
      <c r="J748" s="2" t="str">
        <f t="shared" si="69"/>
        <v>2025-11</v>
      </c>
      <c r="K748" s="2">
        <f t="shared" si="70"/>
        <v>46</v>
      </c>
      <c r="L748" s="2">
        <f ca="1">AVERAGE(OFFSET(USD_NGN_Historical_Data__17[[#This Row],[Rate]], -6, 0, 7, 1))</f>
        <v>1439.3392857142856</v>
      </c>
      <c r="M748" s="2" t="str">
        <f t="shared" si="71"/>
        <v>Tue</v>
      </c>
    </row>
    <row r="749" spans="1:13" x14ac:dyDescent="0.35">
      <c r="A749" s="4">
        <v>45973</v>
      </c>
      <c r="B749" s="2">
        <v>1440.85</v>
      </c>
      <c r="C749" s="2">
        <v>1435.23</v>
      </c>
      <c r="D749" s="2">
        <v>1442.82</v>
      </c>
      <c r="E749" s="2">
        <v>1435.23</v>
      </c>
      <c r="F749" s="1">
        <v>8.9999999999999998E-4</v>
      </c>
      <c r="G749" s="2">
        <f t="shared" si="66"/>
        <v>2025</v>
      </c>
      <c r="H749" s="2" t="str">
        <f t="shared" si="67"/>
        <v>Nov</v>
      </c>
      <c r="I749" s="2">
        <f t="shared" si="68"/>
        <v>11</v>
      </c>
      <c r="J749" s="2" t="str">
        <f t="shared" si="69"/>
        <v>2025-11</v>
      </c>
      <c r="K749" s="2">
        <f t="shared" si="70"/>
        <v>46</v>
      </c>
      <c r="L749" s="2">
        <f ca="1">AVERAGE(OFFSET(USD_NGN_Historical_Data__17[[#This Row],[Rate]], -6, 0, 7, 1))</f>
        <v>1439.2592857142859</v>
      </c>
      <c r="M749" s="2" t="str">
        <f t="shared" si="71"/>
        <v>Wed</v>
      </c>
    </row>
    <row r="750" spans="1:13" x14ac:dyDescent="0.35">
      <c r="A750" s="4">
        <v>45974</v>
      </c>
      <c r="B750" s="2">
        <v>1440.665</v>
      </c>
      <c r="C750" s="2">
        <v>1443.33</v>
      </c>
      <c r="D750" s="2">
        <v>1445.365</v>
      </c>
      <c r="E750" s="2">
        <v>1437.37</v>
      </c>
      <c r="F750" s="1">
        <v>-1E-4</v>
      </c>
      <c r="G750" s="2">
        <f t="shared" si="66"/>
        <v>2025</v>
      </c>
      <c r="H750" s="2" t="str">
        <f t="shared" si="67"/>
        <v>Nov</v>
      </c>
      <c r="I750" s="2">
        <f t="shared" si="68"/>
        <v>11</v>
      </c>
      <c r="J750" s="2" t="str">
        <f t="shared" si="69"/>
        <v>2025-11</v>
      </c>
      <c r="K750" s="2">
        <f t="shared" si="70"/>
        <v>46</v>
      </c>
      <c r="L750" s="2">
        <f ca="1">AVERAGE(OFFSET(USD_NGN_Historical_Data__17[[#This Row],[Rate]], -6, 0, 7, 1))</f>
        <v>1439.062857142857</v>
      </c>
      <c r="M750" s="2" t="str">
        <f t="shared" si="71"/>
        <v>Thu</v>
      </c>
    </row>
    <row r="751" spans="1:13" x14ac:dyDescent="0.35">
      <c r="A751" s="4">
        <v>45975</v>
      </c>
      <c r="B751" s="2">
        <v>1441.56</v>
      </c>
      <c r="C751" s="2">
        <v>1440.645</v>
      </c>
      <c r="D751" s="2">
        <v>1445.9649999999999</v>
      </c>
      <c r="E751" s="2">
        <v>1437.37</v>
      </c>
      <c r="F751" s="1">
        <v>5.9999999999999995E-4</v>
      </c>
      <c r="G751" s="2">
        <f t="shared" si="66"/>
        <v>2025</v>
      </c>
      <c r="H751" s="2" t="str">
        <f t="shared" si="67"/>
        <v>Nov</v>
      </c>
      <c r="I751" s="2">
        <f t="shared" si="68"/>
        <v>11</v>
      </c>
      <c r="J751" s="2" t="str">
        <f t="shared" si="69"/>
        <v>2025-11</v>
      </c>
      <c r="K751" s="2">
        <f t="shared" si="70"/>
        <v>46</v>
      </c>
      <c r="L751" s="2">
        <f ca="1">AVERAGE(OFFSET(USD_NGN_Historical_Data__17[[#This Row],[Rate]], -6, 0, 7, 1))</f>
        <v>1439.140714285714</v>
      </c>
      <c r="M751" s="2" t="str">
        <f t="shared" si="71"/>
        <v>Fri</v>
      </c>
    </row>
    <row r="752" spans="1:13" x14ac:dyDescent="0.35">
      <c r="A752" s="4">
        <v>45978</v>
      </c>
      <c r="B752" s="2">
        <v>1445.075</v>
      </c>
      <c r="C752" s="2">
        <v>1439.82</v>
      </c>
      <c r="D752" s="2">
        <v>1447.76</v>
      </c>
      <c r="E752" s="2">
        <v>1439.4749999999999</v>
      </c>
      <c r="F752" s="1">
        <v>2.3999999999999998E-3</v>
      </c>
      <c r="G752" s="2">
        <f t="shared" si="66"/>
        <v>2025</v>
      </c>
      <c r="H752" s="2" t="str">
        <f t="shared" si="67"/>
        <v>Nov</v>
      </c>
      <c r="I752" s="2">
        <f t="shared" si="68"/>
        <v>11</v>
      </c>
      <c r="J752" s="2" t="str">
        <f t="shared" si="69"/>
        <v>2025-11</v>
      </c>
      <c r="K752" s="2">
        <f t="shared" si="70"/>
        <v>47</v>
      </c>
      <c r="L752" s="2">
        <f ca="1">AVERAGE(OFFSET(USD_NGN_Historical_Data__17[[#This Row],[Rate]], -6, 0, 7, 1))</f>
        <v>1440.1764285714287</v>
      </c>
      <c r="M752" s="2" t="str">
        <f t="shared" si="71"/>
        <v>Mon</v>
      </c>
    </row>
    <row r="753" spans="1:13" x14ac:dyDescent="0.35">
      <c r="A753" s="4">
        <v>45979</v>
      </c>
      <c r="B753" s="2">
        <v>1449.35</v>
      </c>
      <c r="C753" s="2">
        <v>1445.105</v>
      </c>
      <c r="D753" s="2">
        <v>1452.575</v>
      </c>
      <c r="E753" s="2">
        <v>1442.18</v>
      </c>
      <c r="F753" s="1">
        <v>3.0000000000000001E-3</v>
      </c>
      <c r="G753" s="2">
        <f t="shared" si="66"/>
        <v>2025</v>
      </c>
      <c r="H753" s="2" t="str">
        <f t="shared" si="67"/>
        <v>Nov</v>
      </c>
      <c r="I753" s="2">
        <f t="shared" si="68"/>
        <v>11</v>
      </c>
      <c r="J753" s="2" t="str">
        <f t="shared" si="69"/>
        <v>2025-11</v>
      </c>
      <c r="K753" s="2">
        <f t="shared" si="70"/>
        <v>47</v>
      </c>
      <c r="L753" s="2">
        <f ca="1">AVERAGE(OFFSET(USD_NGN_Historical_Data__17[[#This Row],[Rate]], -6, 0, 7, 1))</f>
        <v>1442.2221428571429</v>
      </c>
      <c r="M753" s="2" t="str">
        <f t="shared" si="71"/>
        <v>Tue</v>
      </c>
    </row>
    <row r="754" spans="1:13" x14ac:dyDescent="0.35">
      <c r="A754" s="4">
        <v>45980</v>
      </c>
      <c r="B754" s="2">
        <v>1450.27</v>
      </c>
      <c r="C754" s="2">
        <v>1448.7149999999999</v>
      </c>
      <c r="D754" s="2">
        <v>1455</v>
      </c>
      <c r="E754" s="2">
        <v>1446.5050000000001</v>
      </c>
      <c r="F754" s="1">
        <v>5.9999999999999995E-4</v>
      </c>
      <c r="G754" s="2">
        <f t="shared" si="66"/>
        <v>2025</v>
      </c>
      <c r="H754" s="2" t="str">
        <f t="shared" si="67"/>
        <v>Nov</v>
      </c>
      <c r="I754" s="2">
        <f t="shared" si="68"/>
        <v>11</v>
      </c>
      <c r="J754" s="2" t="str">
        <f t="shared" si="69"/>
        <v>2025-11</v>
      </c>
      <c r="K754" s="2">
        <f t="shared" si="70"/>
        <v>47</v>
      </c>
      <c r="L754" s="2">
        <f ca="1">AVERAGE(OFFSET(USD_NGN_Historical_Data__17[[#This Row],[Rate]], -6, 0, 7, 1))</f>
        <v>1443.9042857142856</v>
      </c>
      <c r="M754" s="2" t="str">
        <f t="shared" si="71"/>
        <v>Wed</v>
      </c>
    </row>
    <row r="755" spans="1:13" x14ac:dyDescent="0.35">
      <c r="A755" s="4">
        <v>45981</v>
      </c>
      <c r="B755" s="2">
        <v>1453.49</v>
      </c>
      <c r="C755" s="2">
        <v>1452.35</v>
      </c>
      <c r="D755" s="2">
        <v>1459.5</v>
      </c>
      <c r="E755" s="2">
        <v>1445.5550000000001</v>
      </c>
      <c r="F755" s="1">
        <v>2.2000000000000001E-3</v>
      </c>
      <c r="G755" s="2">
        <f t="shared" si="66"/>
        <v>2025</v>
      </c>
      <c r="H755" s="2" t="str">
        <f t="shared" si="67"/>
        <v>Nov</v>
      </c>
      <c r="I755" s="2">
        <f t="shared" si="68"/>
        <v>11</v>
      </c>
      <c r="J755" s="2" t="str">
        <f t="shared" si="69"/>
        <v>2025-11</v>
      </c>
      <c r="K755" s="2">
        <f t="shared" si="70"/>
        <v>47</v>
      </c>
      <c r="L755" s="2">
        <f ca="1">AVERAGE(OFFSET(USD_NGN_Historical_Data__17[[#This Row],[Rate]], -6, 0, 7, 1))</f>
        <v>1445.8942857142858</v>
      </c>
      <c r="M755" s="2" t="str">
        <f t="shared" si="71"/>
        <v>Thu</v>
      </c>
    </row>
    <row r="756" spans="1:13" x14ac:dyDescent="0.35">
      <c r="A756" s="4">
        <v>45982</v>
      </c>
      <c r="B756" s="2">
        <v>1452.345</v>
      </c>
      <c r="C756" s="2">
        <v>1453.48</v>
      </c>
      <c r="D756" s="2">
        <v>1457.9549999999999</v>
      </c>
      <c r="E756" s="2">
        <v>1450.2449999999999</v>
      </c>
      <c r="F756" s="1">
        <v>-8.0000000000000004E-4</v>
      </c>
      <c r="G756" s="2">
        <f t="shared" si="66"/>
        <v>2025</v>
      </c>
      <c r="H756" s="2" t="str">
        <f t="shared" si="67"/>
        <v>Nov</v>
      </c>
      <c r="I756" s="2">
        <f t="shared" si="68"/>
        <v>11</v>
      </c>
      <c r="J756" s="2" t="str">
        <f t="shared" si="69"/>
        <v>2025-11</v>
      </c>
      <c r="K756" s="2">
        <f t="shared" si="70"/>
        <v>47</v>
      </c>
      <c r="L756" s="2">
        <f ca="1">AVERAGE(OFFSET(USD_NGN_Historical_Data__17[[#This Row],[Rate]], -6, 0, 7, 1))</f>
        <v>1447.5364285714284</v>
      </c>
      <c r="M756" s="2" t="str">
        <f t="shared" si="71"/>
        <v>Fri</v>
      </c>
    </row>
    <row r="757" spans="1:13" x14ac:dyDescent="0.35">
      <c r="A757" s="4">
        <v>45985</v>
      </c>
      <c r="B757" s="2">
        <v>1455.095</v>
      </c>
      <c r="C757" s="2">
        <v>1450.77</v>
      </c>
      <c r="D757" s="2">
        <v>1459.2950000000001</v>
      </c>
      <c r="E757" s="2">
        <v>1450.77</v>
      </c>
      <c r="F757" s="1">
        <v>1.9E-3</v>
      </c>
      <c r="G757" s="2">
        <f t="shared" si="66"/>
        <v>2025</v>
      </c>
      <c r="H757" s="2" t="str">
        <f t="shared" si="67"/>
        <v>Nov</v>
      </c>
      <c r="I757" s="2">
        <f t="shared" si="68"/>
        <v>11</v>
      </c>
      <c r="J757" s="2" t="str">
        <f t="shared" si="69"/>
        <v>2025-11</v>
      </c>
      <c r="K757" s="2">
        <f t="shared" si="70"/>
        <v>48</v>
      </c>
      <c r="L757" s="2">
        <f ca="1">AVERAGE(OFFSET(USD_NGN_Historical_Data__17[[#This Row],[Rate]], -6, 0, 7, 1))</f>
        <v>1449.597857142857</v>
      </c>
      <c r="M757" s="2" t="str">
        <f t="shared" si="71"/>
        <v>Mon</v>
      </c>
    </row>
    <row r="758" spans="1:13" x14ac:dyDescent="0.35">
      <c r="A758" s="4">
        <v>45986</v>
      </c>
      <c r="B758" s="2">
        <v>1449.43</v>
      </c>
      <c r="C758" s="2">
        <v>1452.08</v>
      </c>
      <c r="D758" s="2">
        <v>1458.83</v>
      </c>
      <c r="E758" s="2">
        <v>1447.2850000000001</v>
      </c>
      <c r="F758" s="1">
        <v>-3.8999999999999998E-3</v>
      </c>
      <c r="G758" s="2">
        <f t="shared" si="66"/>
        <v>2025</v>
      </c>
      <c r="H758" s="2" t="str">
        <f t="shared" si="67"/>
        <v>Nov</v>
      </c>
      <c r="I758" s="2">
        <f t="shared" si="68"/>
        <v>11</v>
      </c>
      <c r="J758" s="2" t="str">
        <f t="shared" si="69"/>
        <v>2025-11</v>
      </c>
      <c r="K758" s="2">
        <f t="shared" si="70"/>
        <v>48</v>
      </c>
      <c r="L758" s="2">
        <f ca="1">AVERAGE(OFFSET(USD_NGN_Historical_Data__17[[#This Row],[Rate]], -6, 0, 7, 1))</f>
        <v>1450.7221428571429</v>
      </c>
      <c r="M758" s="2" t="str">
        <f t="shared" si="71"/>
        <v>Tue</v>
      </c>
    </row>
    <row r="759" spans="1:13" x14ac:dyDescent="0.35">
      <c r="A759" s="4">
        <v>45987</v>
      </c>
      <c r="B759" s="2">
        <v>1446.89</v>
      </c>
      <c r="C759" s="2">
        <v>1449.365</v>
      </c>
      <c r="D759" s="2">
        <v>1449.5650000000001</v>
      </c>
      <c r="E759" s="2">
        <v>1440.75</v>
      </c>
      <c r="F759" s="1">
        <v>-1.8E-3</v>
      </c>
      <c r="G759" s="2">
        <f t="shared" si="66"/>
        <v>2025</v>
      </c>
      <c r="H759" s="2" t="str">
        <f t="shared" si="67"/>
        <v>Nov</v>
      </c>
      <c r="I759" s="2">
        <f t="shared" si="68"/>
        <v>11</v>
      </c>
      <c r="J759" s="2" t="str">
        <f t="shared" si="69"/>
        <v>2025-11</v>
      </c>
      <c r="K759" s="2">
        <f t="shared" si="70"/>
        <v>48</v>
      </c>
      <c r="L759" s="2">
        <f ca="1">AVERAGE(OFFSET(USD_NGN_Historical_Data__17[[#This Row],[Rate]], -6, 0, 7, 1))</f>
        <v>1450.9814285714285</v>
      </c>
      <c r="M759" s="2" t="str">
        <f t="shared" si="71"/>
        <v>Wed</v>
      </c>
    </row>
    <row r="760" spans="1:13" x14ac:dyDescent="0.35">
      <c r="A760" s="4">
        <v>45988</v>
      </c>
      <c r="B760" s="2">
        <v>1446.3150000000001</v>
      </c>
      <c r="C760" s="2">
        <v>1446.91</v>
      </c>
      <c r="D760" s="2">
        <v>1447.905</v>
      </c>
      <c r="E760" s="2">
        <v>1440.24</v>
      </c>
      <c r="F760" s="1">
        <v>-4.0000000000000002E-4</v>
      </c>
      <c r="G760" s="2">
        <f t="shared" si="66"/>
        <v>2025</v>
      </c>
      <c r="H760" s="2" t="str">
        <f t="shared" si="67"/>
        <v>Nov</v>
      </c>
      <c r="I760" s="2">
        <f t="shared" si="68"/>
        <v>11</v>
      </c>
      <c r="J760" s="2" t="str">
        <f t="shared" si="69"/>
        <v>2025-11</v>
      </c>
      <c r="K760" s="2">
        <f t="shared" si="70"/>
        <v>48</v>
      </c>
      <c r="L760" s="2">
        <f ca="1">AVERAGE(OFFSET(USD_NGN_Historical_Data__17[[#This Row],[Rate]], -6, 0, 7, 1))</f>
        <v>1450.5478571428573</v>
      </c>
      <c r="M760" s="2" t="str">
        <f t="shared" si="71"/>
        <v>Thu</v>
      </c>
    </row>
    <row r="761" spans="1:13" x14ac:dyDescent="0.35">
      <c r="A761" s="4">
        <v>45989</v>
      </c>
      <c r="B761" s="2">
        <v>1447.335</v>
      </c>
      <c r="C761" s="2">
        <v>1446.3150000000001</v>
      </c>
      <c r="D761" s="2">
        <v>1448.51</v>
      </c>
      <c r="E761" s="2">
        <v>1442.25</v>
      </c>
      <c r="F761" s="1">
        <v>6.9999999999999999E-4</v>
      </c>
      <c r="G761" s="2">
        <f t="shared" si="66"/>
        <v>2025</v>
      </c>
      <c r="H761" s="2" t="str">
        <f t="shared" si="67"/>
        <v>Nov</v>
      </c>
      <c r="I761" s="2">
        <f t="shared" si="68"/>
        <v>11</v>
      </c>
      <c r="J761" s="2" t="str">
        <f t="shared" si="69"/>
        <v>2025-11</v>
      </c>
      <c r="K761" s="2">
        <f t="shared" si="70"/>
        <v>48</v>
      </c>
      <c r="L761" s="2">
        <f ca="1">AVERAGE(OFFSET(USD_NGN_Historical_Data__17[[#This Row],[Rate]], -6, 0, 7, 1))</f>
        <v>1450.1285714285716</v>
      </c>
      <c r="M761" s="2" t="str">
        <f t="shared" si="71"/>
        <v>Fri</v>
      </c>
    </row>
    <row r="762" spans="1:13" x14ac:dyDescent="0.35">
      <c r="A762" s="4">
        <v>45992</v>
      </c>
      <c r="B762" s="2">
        <v>1446.915</v>
      </c>
      <c r="C762" s="2">
        <v>1443</v>
      </c>
      <c r="D762" s="2">
        <v>1450.095</v>
      </c>
      <c r="E762" s="2">
        <v>1439.82</v>
      </c>
      <c r="F762" s="1">
        <v>-2.9999999999999997E-4</v>
      </c>
      <c r="G762" s="2">
        <f t="shared" si="66"/>
        <v>2025</v>
      </c>
      <c r="H762" s="2" t="str">
        <f t="shared" si="67"/>
        <v>Dec</v>
      </c>
      <c r="I762" s="2">
        <f t="shared" si="68"/>
        <v>12</v>
      </c>
      <c r="J762" s="2" t="str">
        <f t="shared" si="69"/>
        <v>2025-12</v>
      </c>
      <c r="K762" s="2">
        <f t="shared" si="70"/>
        <v>49</v>
      </c>
      <c r="L762" s="2">
        <f ca="1">AVERAGE(OFFSET(USD_NGN_Historical_Data__17[[#This Row],[Rate]], -6, 0, 7, 1))</f>
        <v>1449.1892857142859</v>
      </c>
      <c r="M762" s="2" t="str">
        <f t="shared" si="71"/>
        <v>Mon</v>
      </c>
    </row>
    <row r="763" spans="1:13" x14ac:dyDescent="0.35">
      <c r="A763" s="4">
        <v>45993</v>
      </c>
      <c r="B763" s="2">
        <v>1446.9849999999999</v>
      </c>
      <c r="C763" s="2">
        <v>1442.72</v>
      </c>
      <c r="D763" s="2">
        <v>1449.1849999999999</v>
      </c>
      <c r="E763" s="2">
        <v>1442.72</v>
      </c>
      <c r="F763" s="1">
        <v>0</v>
      </c>
      <c r="G763" s="2">
        <f t="shared" si="66"/>
        <v>2025</v>
      </c>
      <c r="H763" s="2" t="str">
        <f t="shared" si="67"/>
        <v>Dec</v>
      </c>
      <c r="I763" s="2">
        <f t="shared" si="68"/>
        <v>12</v>
      </c>
      <c r="J763" s="2" t="str">
        <f t="shared" si="69"/>
        <v>2025-12</v>
      </c>
      <c r="K763" s="2">
        <f t="shared" si="70"/>
        <v>49</v>
      </c>
      <c r="L763" s="2">
        <f ca="1">AVERAGE(OFFSET(USD_NGN_Historical_Data__17[[#This Row],[Rate]], -6, 0, 7, 1))</f>
        <v>1448.4235714285714</v>
      </c>
      <c r="M763" s="2" t="str">
        <f t="shared" si="71"/>
        <v>Tue</v>
      </c>
    </row>
    <row r="764" spans="1:13" x14ac:dyDescent="0.35">
      <c r="A764" s="4">
        <v>45994</v>
      </c>
      <c r="B764" s="2">
        <v>1447.5150000000001</v>
      </c>
      <c r="C764" s="2">
        <v>1446.9849999999999</v>
      </c>
      <c r="D764" s="2">
        <v>1449.105</v>
      </c>
      <c r="E764" s="2">
        <v>1442.52</v>
      </c>
      <c r="F764" s="1">
        <v>4.0000000000000002E-4</v>
      </c>
      <c r="G764" s="2">
        <f t="shared" si="66"/>
        <v>2025</v>
      </c>
      <c r="H764" s="2" t="str">
        <f t="shared" si="67"/>
        <v>Dec</v>
      </c>
      <c r="I764" s="2">
        <f t="shared" si="68"/>
        <v>12</v>
      </c>
      <c r="J764" s="2" t="str">
        <f t="shared" si="69"/>
        <v>2025-12</v>
      </c>
      <c r="K764" s="2">
        <f t="shared" si="70"/>
        <v>49</v>
      </c>
      <c r="L764" s="2">
        <f ca="1">AVERAGE(OFFSET(USD_NGN_Historical_Data__17[[#This Row],[Rate]], -6, 0, 7, 1))</f>
        <v>1447.3407142857143</v>
      </c>
      <c r="M764" s="2" t="str">
        <f t="shared" si="71"/>
        <v>Wed</v>
      </c>
    </row>
    <row r="765" spans="1:13" x14ac:dyDescent="0.35">
      <c r="A765" s="4">
        <v>45995</v>
      </c>
      <c r="B765" s="2">
        <v>1449.23</v>
      </c>
      <c r="C765" s="2">
        <v>1447.5150000000001</v>
      </c>
      <c r="D765" s="2">
        <v>1450.2249999999999</v>
      </c>
      <c r="E765" s="2">
        <v>1443.72</v>
      </c>
      <c r="F765" s="1">
        <v>1.1999999999999999E-3</v>
      </c>
      <c r="G765" s="2">
        <f t="shared" si="66"/>
        <v>2025</v>
      </c>
      <c r="H765" s="2" t="str">
        <f t="shared" si="67"/>
        <v>Dec</v>
      </c>
      <c r="I765" s="2">
        <f t="shared" si="68"/>
        <v>12</v>
      </c>
      <c r="J765" s="2" t="str">
        <f t="shared" si="69"/>
        <v>2025-12</v>
      </c>
      <c r="K765" s="2">
        <f t="shared" si="70"/>
        <v>49</v>
      </c>
      <c r="L765" s="2">
        <f ca="1">AVERAGE(OFFSET(USD_NGN_Historical_Data__17[[#This Row],[Rate]], -6, 0, 7, 1))</f>
        <v>1447.3121428571428</v>
      </c>
      <c r="M765" s="2" t="str">
        <f t="shared" si="71"/>
        <v>Thu</v>
      </c>
    </row>
    <row r="766" spans="1:13" x14ac:dyDescent="0.35">
      <c r="A766" s="4">
        <v>45996</v>
      </c>
      <c r="B766" s="2">
        <v>1449.665</v>
      </c>
      <c r="C766" s="2">
        <v>1449.22</v>
      </c>
      <c r="D766" s="2">
        <v>1452.08</v>
      </c>
      <c r="E766" s="2">
        <v>1446.16</v>
      </c>
      <c r="F766" s="1">
        <v>2.9999999999999997E-4</v>
      </c>
      <c r="G766" s="2">
        <f t="shared" si="66"/>
        <v>2025</v>
      </c>
      <c r="H766" s="2" t="str">
        <f t="shared" si="67"/>
        <v>Dec</v>
      </c>
      <c r="I766" s="2">
        <f t="shared" si="68"/>
        <v>12</v>
      </c>
      <c r="J766" s="2" t="str">
        <f t="shared" si="69"/>
        <v>2025-12</v>
      </c>
      <c r="K766" s="2">
        <f t="shared" si="70"/>
        <v>49</v>
      </c>
      <c r="L766" s="2">
        <f ca="1">AVERAGE(OFFSET(USD_NGN_Historical_Data__17[[#This Row],[Rate]], -6, 0, 7, 1))</f>
        <v>1447.7085714285713</v>
      </c>
      <c r="M766" s="2" t="str">
        <f t="shared" si="71"/>
        <v>Fri</v>
      </c>
    </row>
    <row r="767" spans="1:13" x14ac:dyDescent="0.35">
      <c r="A767" s="4">
        <v>45999</v>
      </c>
      <c r="B767" s="2">
        <v>1449.39</v>
      </c>
      <c r="C767" s="2">
        <v>1447.92</v>
      </c>
      <c r="D767" s="2">
        <v>1454.575</v>
      </c>
      <c r="E767" s="2">
        <v>1447.92</v>
      </c>
      <c r="F767" s="1">
        <v>-2.0000000000000001E-4</v>
      </c>
      <c r="G767" s="2">
        <f t="shared" si="66"/>
        <v>2025</v>
      </c>
      <c r="H767" s="2" t="str">
        <f t="shared" si="67"/>
        <v>Dec</v>
      </c>
      <c r="I767" s="2">
        <f t="shared" si="68"/>
        <v>12</v>
      </c>
      <c r="J767" s="2" t="str">
        <f t="shared" si="69"/>
        <v>2025-12</v>
      </c>
      <c r="K767" s="2">
        <f t="shared" si="70"/>
        <v>50</v>
      </c>
      <c r="L767" s="2">
        <f ca="1">AVERAGE(OFFSET(USD_NGN_Historical_Data__17[[#This Row],[Rate]], -6, 0, 7, 1))</f>
        <v>1448.1478571428572</v>
      </c>
      <c r="M767" s="2" t="str">
        <f t="shared" si="71"/>
        <v>Mon</v>
      </c>
    </row>
    <row r="768" spans="1:13" x14ac:dyDescent="0.35">
      <c r="A768" s="4">
        <v>46000</v>
      </c>
      <c r="B768" s="2">
        <v>1451.51</v>
      </c>
      <c r="C768" s="2">
        <v>1451.28</v>
      </c>
      <c r="D768" s="2">
        <v>1455.19</v>
      </c>
      <c r="E768" s="2">
        <v>1449.2550000000001</v>
      </c>
      <c r="F768" s="1">
        <v>1.5E-3</v>
      </c>
      <c r="G768" s="2">
        <f t="shared" si="66"/>
        <v>2025</v>
      </c>
      <c r="H768" s="2" t="str">
        <f t="shared" si="67"/>
        <v>Dec</v>
      </c>
      <c r="I768" s="2">
        <f t="shared" si="68"/>
        <v>12</v>
      </c>
      <c r="J768" s="2" t="str">
        <f t="shared" si="69"/>
        <v>2025-12</v>
      </c>
      <c r="K768" s="2">
        <f t="shared" si="70"/>
        <v>50</v>
      </c>
      <c r="L768" s="2">
        <f ca="1">AVERAGE(OFFSET(USD_NGN_Historical_Data__17[[#This Row],[Rate]], -6, 0, 7, 1))</f>
        <v>1448.7442857142858</v>
      </c>
      <c r="M768" s="2" t="str">
        <f t="shared" si="71"/>
        <v>Tue</v>
      </c>
    </row>
    <row r="769" spans="1:13" x14ac:dyDescent="0.35">
      <c r="A769" s="4">
        <v>46001</v>
      </c>
      <c r="B769" s="2">
        <v>1454.33</v>
      </c>
      <c r="C769" s="2">
        <v>1451.5</v>
      </c>
      <c r="D769" s="2">
        <v>1457.23</v>
      </c>
      <c r="E769" s="2">
        <v>1450.1</v>
      </c>
      <c r="F769" s="1">
        <v>1.9E-3</v>
      </c>
      <c r="G769" s="2">
        <f t="shared" si="66"/>
        <v>2025</v>
      </c>
      <c r="H769" s="2" t="str">
        <f t="shared" si="67"/>
        <v>Dec</v>
      </c>
      <c r="I769" s="2">
        <f t="shared" si="68"/>
        <v>12</v>
      </c>
      <c r="J769" s="2" t="str">
        <f t="shared" si="69"/>
        <v>2025-12</v>
      </c>
      <c r="K769" s="2">
        <f t="shared" si="70"/>
        <v>50</v>
      </c>
      <c r="L769" s="2">
        <f ca="1">AVERAGE(OFFSET(USD_NGN_Historical_Data__17[[#This Row],[Rate]], -6, 0, 7, 1))</f>
        <v>1449.8035714285713</v>
      </c>
      <c r="M769" s="2" t="str">
        <f t="shared" si="71"/>
        <v>Wed</v>
      </c>
    </row>
    <row r="770" spans="1:13" x14ac:dyDescent="0.35">
      <c r="A770" s="4">
        <v>46002</v>
      </c>
      <c r="B770" s="2">
        <v>1452.5650000000001</v>
      </c>
      <c r="C770" s="2">
        <v>1454.33</v>
      </c>
      <c r="D770" s="2">
        <v>1456.7249999999999</v>
      </c>
      <c r="E770" s="2">
        <v>1447</v>
      </c>
      <c r="F770" s="1">
        <v>-1.1999999999999999E-3</v>
      </c>
      <c r="G770" s="2">
        <f t="shared" ref="G770:G806" si="72">YEAR(A770)</f>
        <v>2025</v>
      </c>
      <c r="H770" s="2" t="str">
        <f t="shared" ref="H770:H806" si="73">TEXT(A770,"mmm")</f>
        <v>Dec</v>
      </c>
      <c r="I770" s="2">
        <f t="shared" ref="I770:I806" si="74">MONTH(A770)</f>
        <v>12</v>
      </c>
      <c r="J770" s="2" t="str">
        <f t="shared" ref="J770:J806" si="75">TEXT(A770,"yyyy-mm")</f>
        <v>2025-12</v>
      </c>
      <c r="K770" s="2">
        <f t="shared" ref="K770:K806" si="76">WEEKNUM(A770)</f>
        <v>50</v>
      </c>
      <c r="L770" s="2">
        <f ca="1">AVERAGE(OFFSET(USD_NGN_Historical_Data__17[[#This Row],[Rate]], -6, 0, 7, 1))</f>
        <v>1450.6007142857143</v>
      </c>
      <c r="M770" s="2" t="str">
        <f t="shared" ref="M770:M806" si="77">TEXT(A770, "ddd")</f>
        <v>Thu</v>
      </c>
    </row>
    <row r="771" spans="1:13" x14ac:dyDescent="0.35">
      <c r="A771" s="4">
        <v>46003</v>
      </c>
      <c r="B771" s="2">
        <v>1453.135</v>
      </c>
      <c r="C771" s="2">
        <v>1452.7950000000001</v>
      </c>
      <c r="D771" s="2">
        <v>1459</v>
      </c>
      <c r="E771" s="2">
        <v>1447.79</v>
      </c>
      <c r="F771" s="1">
        <v>4.0000000000000002E-4</v>
      </c>
      <c r="G771" s="2">
        <f t="shared" si="72"/>
        <v>2025</v>
      </c>
      <c r="H771" s="2" t="str">
        <f t="shared" si="73"/>
        <v>Dec</v>
      </c>
      <c r="I771" s="2">
        <f t="shared" si="74"/>
        <v>12</v>
      </c>
      <c r="J771" s="2" t="str">
        <f t="shared" si="75"/>
        <v>2025-12</v>
      </c>
      <c r="K771" s="2">
        <f t="shared" si="76"/>
        <v>50</v>
      </c>
      <c r="L771" s="2">
        <f ca="1">AVERAGE(OFFSET(USD_NGN_Historical_Data__17[[#This Row],[Rate]], -6, 0, 7, 1))</f>
        <v>1451.4035714285715</v>
      </c>
      <c r="M771" s="2" t="str">
        <f t="shared" si="77"/>
        <v>Fri</v>
      </c>
    </row>
    <row r="772" spans="1:13" x14ac:dyDescent="0.35">
      <c r="A772" s="4">
        <v>46006</v>
      </c>
      <c r="B772" s="2">
        <v>1451.7</v>
      </c>
      <c r="C772" s="2">
        <v>1448.68</v>
      </c>
      <c r="D772" s="2">
        <v>1455.43</v>
      </c>
      <c r="E772" s="2">
        <v>1448.34</v>
      </c>
      <c r="F772" s="1">
        <v>-1E-3</v>
      </c>
      <c r="G772" s="2">
        <f t="shared" si="72"/>
        <v>2025</v>
      </c>
      <c r="H772" s="2" t="str">
        <f t="shared" si="73"/>
        <v>Dec</v>
      </c>
      <c r="I772" s="2">
        <f t="shared" si="74"/>
        <v>12</v>
      </c>
      <c r="J772" s="2" t="str">
        <f t="shared" si="75"/>
        <v>2025-12</v>
      </c>
      <c r="K772" s="2">
        <f t="shared" si="76"/>
        <v>51</v>
      </c>
      <c r="L772" s="2">
        <f ca="1">AVERAGE(OFFSET(USD_NGN_Historical_Data__17[[#This Row],[Rate]], -6, 0, 7, 1))</f>
        <v>1451.7564285714288</v>
      </c>
      <c r="M772" s="2" t="str">
        <f t="shared" si="77"/>
        <v>Mon</v>
      </c>
    </row>
    <row r="773" spans="1:13" x14ac:dyDescent="0.35">
      <c r="A773" s="4">
        <v>46007</v>
      </c>
      <c r="B773" s="2">
        <v>1451.98</v>
      </c>
      <c r="C773" s="2">
        <v>1450.54</v>
      </c>
      <c r="D773" s="2">
        <v>1456.66</v>
      </c>
      <c r="E773" s="2">
        <v>1449.7650000000001</v>
      </c>
      <c r="F773" s="1">
        <v>2.0000000000000001E-4</v>
      </c>
      <c r="G773" s="2">
        <f t="shared" si="72"/>
        <v>2025</v>
      </c>
      <c r="H773" s="2" t="str">
        <f t="shared" si="73"/>
        <v>Dec</v>
      </c>
      <c r="I773" s="2">
        <f t="shared" si="74"/>
        <v>12</v>
      </c>
      <c r="J773" s="2" t="str">
        <f t="shared" si="75"/>
        <v>2025-12</v>
      </c>
      <c r="K773" s="2">
        <f t="shared" si="76"/>
        <v>51</v>
      </c>
      <c r="L773" s="2">
        <f ca="1">AVERAGE(OFFSET(USD_NGN_Historical_Data__17[[#This Row],[Rate]], -6, 0, 7, 1))</f>
        <v>1452.0871428571429</v>
      </c>
      <c r="M773" s="2" t="str">
        <f t="shared" si="77"/>
        <v>Tue</v>
      </c>
    </row>
    <row r="774" spans="1:13" x14ac:dyDescent="0.35">
      <c r="A774" s="4">
        <v>46008</v>
      </c>
      <c r="B774" s="2">
        <v>1453.84</v>
      </c>
      <c r="C774" s="2">
        <v>1453.9649999999999</v>
      </c>
      <c r="D774" s="2">
        <v>1459.49</v>
      </c>
      <c r="E774" s="2">
        <v>1451.49</v>
      </c>
      <c r="F774" s="1">
        <v>1.2999999999999999E-3</v>
      </c>
      <c r="G774" s="2">
        <f t="shared" si="72"/>
        <v>2025</v>
      </c>
      <c r="H774" s="2" t="str">
        <f t="shared" si="73"/>
        <v>Dec</v>
      </c>
      <c r="I774" s="2">
        <f t="shared" si="74"/>
        <v>12</v>
      </c>
      <c r="J774" s="2" t="str">
        <f t="shared" si="75"/>
        <v>2025-12</v>
      </c>
      <c r="K774" s="2">
        <f t="shared" si="76"/>
        <v>51</v>
      </c>
      <c r="L774" s="2">
        <f ca="1">AVERAGE(OFFSET(USD_NGN_Historical_Data__17[[#This Row],[Rate]], -6, 0, 7, 1))</f>
        <v>1452.7228571428573</v>
      </c>
      <c r="M774" s="2" t="str">
        <f t="shared" si="77"/>
        <v>Wed</v>
      </c>
    </row>
    <row r="775" spans="1:13" x14ac:dyDescent="0.35">
      <c r="A775" s="4">
        <v>46009</v>
      </c>
      <c r="B775" s="2">
        <v>1455.75</v>
      </c>
      <c r="C775" s="2">
        <v>1455.95</v>
      </c>
      <c r="D775" s="2">
        <v>1459.89</v>
      </c>
      <c r="E775" s="2">
        <v>1452.65</v>
      </c>
      <c r="F775" s="1">
        <v>1.2999999999999999E-3</v>
      </c>
      <c r="G775" s="2">
        <f t="shared" si="72"/>
        <v>2025</v>
      </c>
      <c r="H775" s="2" t="str">
        <f t="shared" si="73"/>
        <v>Dec</v>
      </c>
      <c r="I775" s="2">
        <f t="shared" si="74"/>
        <v>12</v>
      </c>
      <c r="J775" s="2" t="str">
        <f t="shared" si="75"/>
        <v>2025-12</v>
      </c>
      <c r="K775" s="2">
        <f t="shared" si="76"/>
        <v>51</v>
      </c>
      <c r="L775" s="2">
        <f ca="1">AVERAGE(OFFSET(USD_NGN_Historical_Data__17[[#This Row],[Rate]], -6, 0, 7, 1))</f>
        <v>1453.3285714285714</v>
      </c>
      <c r="M775" s="2" t="str">
        <f t="shared" si="77"/>
        <v>Thu</v>
      </c>
    </row>
    <row r="776" spans="1:13" x14ac:dyDescent="0.35">
      <c r="A776" s="4">
        <v>46010</v>
      </c>
      <c r="B776" s="2">
        <v>1460.5050000000001</v>
      </c>
      <c r="C776" s="2">
        <v>1455.75</v>
      </c>
      <c r="D776" s="2">
        <v>1464.5550000000001</v>
      </c>
      <c r="E776" s="2">
        <v>1455.375</v>
      </c>
      <c r="F776" s="1">
        <v>3.3E-3</v>
      </c>
      <c r="G776" s="2">
        <f t="shared" si="72"/>
        <v>2025</v>
      </c>
      <c r="H776" s="2" t="str">
        <f t="shared" si="73"/>
        <v>Dec</v>
      </c>
      <c r="I776" s="2">
        <f t="shared" si="74"/>
        <v>12</v>
      </c>
      <c r="J776" s="2" t="str">
        <f t="shared" si="75"/>
        <v>2025-12</v>
      </c>
      <c r="K776" s="2">
        <f t="shared" si="76"/>
        <v>51</v>
      </c>
      <c r="L776" s="2">
        <f ca="1">AVERAGE(OFFSET(USD_NGN_Historical_Data__17[[#This Row],[Rate]], -6, 0, 7, 1))</f>
        <v>1454.2107142857142</v>
      </c>
      <c r="M776" s="2" t="str">
        <f t="shared" si="77"/>
        <v>Fri</v>
      </c>
    </row>
    <row r="777" spans="1:13" x14ac:dyDescent="0.35">
      <c r="A777" s="4">
        <v>46013</v>
      </c>
      <c r="B777" s="2">
        <v>1457.62</v>
      </c>
      <c r="C777" s="2">
        <v>1459.5</v>
      </c>
      <c r="D777" s="2">
        <v>1463.7249999999999</v>
      </c>
      <c r="E777" s="2">
        <v>1456.57</v>
      </c>
      <c r="F777" s="1">
        <v>-2E-3</v>
      </c>
      <c r="G777" s="2">
        <f t="shared" si="72"/>
        <v>2025</v>
      </c>
      <c r="H777" s="2" t="str">
        <f t="shared" si="73"/>
        <v>Dec</v>
      </c>
      <c r="I777" s="2">
        <f t="shared" si="74"/>
        <v>12</v>
      </c>
      <c r="J777" s="2" t="str">
        <f t="shared" si="75"/>
        <v>2025-12</v>
      </c>
      <c r="K777" s="2">
        <f t="shared" si="76"/>
        <v>52</v>
      </c>
      <c r="L777" s="2">
        <f ca="1">AVERAGE(OFFSET(USD_NGN_Historical_Data__17[[#This Row],[Rate]], -6, 0, 7, 1))</f>
        <v>1454.9328571428571</v>
      </c>
      <c r="M777" s="2" t="str">
        <f t="shared" si="77"/>
        <v>Mon</v>
      </c>
    </row>
    <row r="778" spans="1:13" x14ac:dyDescent="0.35">
      <c r="A778" s="4">
        <v>46014</v>
      </c>
      <c r="B778" s="2">
        <v>1461.5050000000001</v>
      </c>
      <c r="C778" s="2">
        <v>1457.59</v>
      </c>
      <c r="D778" s="2">
        <v>1461.61</v>
      </c>
      <c r="E778" s="2">
        <v>1449</v>
      </c>
      <c r="F778" s="1">
        <v>2.7000000000000001E-3</v>
      </c>
      <c r="G778" s="2">
        <f t="shared" si="72"/>
        <v>2025</v>
      </c>
      <c r="H778" s="2" t="str">
        <f t="shared" si="73"/>
        <v>Dec</v>
      </c>
      <c r="I778" s="2">
        <f t="shared" si="74"/>
        <v>12</v>
      </c>
      <c r="J778" s="2" t="str">
        <f t="shared" si="75"/>
        <v>2025-12</v>
      </c>
      <c r="K778" s="2">
        <f t="shared" si="76"/>
        <v>52</v>
      </c>
      <c r="L778" s="2">
        <f ca="1">AVERAGE(OFFSET(USD_NGN_Historical_Data__17[[#This Row],[Rate]], -6, 0, 7, 1))</f>
        <v>1456.1285714285716</v>
      </c>
      <c r="M778" s="2" t="str">
        <f t="shared" si="77"/>
        <v>Tue</v>
      </c>
    </row>
    <row r="779" spans="1:13" x14ac:dyDescent="0.35">
      <c r="A779" s="4">
        <v>46015</v>
      </c>
      <c r="B779" s="2">
        <v>1450.13</v>
      </c>
      <c r="C779" s="2">
        <v>1459.9949999999999</v>
      </c>
      <c r="D779" s="2">
        <v>1460.39</v>
      </c>
      <c r="E779" s="2">
        <v>1445.905</v>
      </c>
      <c r="F779" s="1">
        <v>-7.7999999999999996E-3</v>
      </c>
      <c r="G779" s="2">
        <f t="shared" si="72"/>
        <v>2025</v>
      </c>
      <c r="H779" s="2" t="str">
        <f t="shared" si="73"/>
        <v>Dec</v>
      </c>
      <c r="I779" s="2">
        <f t="shared" si="74"/>
        <v>12</v>
      </c>
      <c r="J779" s="2" t="str">
        <f t="shared" si="75"/>
        <v>2025-12</v>
      </c>
      <c r="K779" s="2">
        <f t="shared" si="76"/>
        <v>52</v>
      </c>
      <c r="L779" s="2">
        <f ca="1">AVERAGE(OFFSET(USD_NGN_Historical_Data__17[[#This Row],[Rate]], -6, 0, 7, 1))</f>
        <v>1455.9042857142861</v>
      </c>
      <c r="M779" s="2" t="str">
        <f t="shared" si="77"/>
        <v>Wed</v>
      </c>
    </row>
    <row r="780" spans="1:13" x14ac:dyDescent="0.35">
      <c r="A780" s="4">
        <v>46016</v>
      </c>
      <c r="B780" s="2">
        <v>1450.53</v>
      </c>
      <c r="C780" s="2">
        <v>1446.42</v>
      </c>
      <c r="D780" s="2">
        <v>1450.89</v>
      </c>
      <c r="E780" s="2">
        <v>1446.42</v>
      </c>
      <c r="F780" s="1">
        <v>2.9999999999999997E-4</v>
      </c>
      <c r="G780" s="2">
        <f t="shared" si="72"/>
        <v>2025</v>
      </c>
      <c r="H780" s="2" t="str">
        <f t="shared" si="73"/>
        <v>Dec</v>
      </c>
      <c r="I780" s="2">
        <f t="shared" si="74"/>
        <v>12</v>
      </c>
      <c r="J780" s="2" t="str">
        <f t="shared" si="75"/>
        <v>2025-12</v>
      </c>
      <c r="K780" s="2">
        <f t="shared" si="76"/>
        <v>52</v>
      </c>
      <c r="L780" s="2">
        <f ca="1">AVERAGE(OFFSET(USD_NGN_Historical_Data__17[[#This Row],[Rate]], -6, 0, 7, 1))</f>
        <v>1455.697142857143</v>
      </c>
      <c r="M780" s="2" t="str">
        <f t="shared" si="77"/>
        <v>Thu</v>
      </c>
    </row>
    <row r="781" spans="1:13" x14ac:dyDescent="0.35">
      <c r="A781" s="4">
        <v>46017</v>
      </c>
      <c r="B781" s="2">
        <v>1451.62</v>
      </c>
      <c r="C781" s="2">
        <v>1446.42</v>
      </c>
      <c r="D781" s="2">
        <v>1452.395</v>
      </c>
      <c r="E781" s="2">
        <v>1446.42</v>
      </c>
      <c r="F781" s="1">
        <v>8.0000000000000004E-4</v>
      </c>
      <c r="G781" s="2">
        <f t="shared" si="72"/>
        <v>2025</v>
      </c>
      <c r="H781" s="2" t="str">
        <f t="shared" si="73"/>
        <v>Dec</v>
      </c>
      <c r="I781" s="2">
        <f t="shared" si="74"/>
        <v>12</v>
      </c>
      <c r="J781" s="2" t="str">
        <f t="shared" si="75"/>
        <v>2025-12</v>
      </c>
      <c r="K781" s="2">
        <f t="shared" si="76"/>
        <v>52</v>
      </c>
      <c r="L781" s="2">
        <f ca="1">AVERAGE(OFFSET(USD_NGN_Historical_Data__17[[#This Row],[Rate]], -6, 0, 7, 1))</f>
        <v>1455.3799999999999</v>
      </c>
      <c r="M781" s="2" t="str">
        <f t="shared" si="77"/>
        <v>Fri</v>
      </c>
    </row>
    <row r="782" spans="1:13" x14ac:dyDescent="0.35">
      <c r="A782" s="4">
        <v>46020</v>
      </c>
      <c r="B782" s="2">
        <v>1453.2850000000001</v>
      </c>
      <c r="C782" s="2">
        <v>1450.66</v>
      </c>
      <c r="D782" s="2">
        <v>1453.96</v>
      </c>
      <c r="E782" s="2">
        <v>1445.345</v>
      </c>
      <c r="F782" s="1">
        <v>1.1000000000000001E-3</v>
      </c>
      <c r="G782" s="2">
        <f t="shared" si="72"/>
        <v>2025</v>
      </c>
      <c r="H782" s="2" t="str">
        <f t="shared" si="73"/>
        <v>Dec</v>
      </c>
      <c r="I782" s="2">
        <f t="shared" si="74"/>
        <v>12</v>
      </c>
      <c r="J782" s="2" t="str">
        <f t="shared" si="75"/>
        <v>2025-12</v>
      </c>
      <c r="K782" s="2">
        <f t="shared" si="76"/>
        <v>53</v>
      </c>
      <c r="L782" s="2">
        <f ca="1">AVERAGE(OFFSET(USD_NGN_Historical_Data__17[[#This Row],[Rate]], -6, 0, 7, 1))</f>
        <v>1455.0278571428571</v>
      </c>
      <c r="M782" s="2" t="str">
        <f t="shared" si="77"/>
        <v>Mon</v>
      </c>
    </row>
    <row r="783" spans="1:13" x14ac:dyDescent="0.35">
      <c r="A783" s="4">
        <v>46021</v>
      </c>
      <c r="B783" s="2">
        <v>1454.8150000000001</v>
      </c>
      <c r="C783" s="2">
        <v>1451</v>
      </c>
      <c r="D783" s="2">
        <v>1454.8150000000001</v>
      </c>
      <c r="E783" s="2">
        <v>1442.4849999999999</v>
      </c>
      <c r="F783" s="1">
        <v>1.1000000000000001E-3</v>
      </c>
      <c r="G783" s="2">
        <f t="shared" si="72"/>
        <v>2025</v>
      </c>
      <c r="H783" s="2" t="str">
        <f t="shared" si="73"/>
        <v>Dec</v>
      </c>
      <c r="I783" s="2">
        <f t="shared" si="74"/>
        <v>12</v>
      </c>
      <c r="J783" s="2" t="str">
        <f t="shared" si="75"/>
        <v>2025-12</v>
      </c>
      <c r="K783" s="2">
        <f t="shared" si="76"/>
        <v>53</v>
      </c>
      <c r="L783" s="2">
        <f ca="1">AVERAGE(OFFSET(USD_NGN_Historical_Data__17[[#This Row],[Rate]], -6, 0, 7, 1))</f>
        <v>1454.2150000000001</v>
      </c>
      <c r="M783" s="2" t="str">
        <f t="shared" si="77"/>
        <v>Tue</v>
      </c>
    </row>
    <row r="784" spans="1:13" x14ac:dyDescent="0.35">
      <c r="A784" s="4">
        <v>46022</v>
      </c>
      <c r="B784" s="2">
        <v>1444.57</v>
      </c>
      <c r="C784" s="2">
        <v>1454.83</v>
      </c>
      <c r="D784" s="2">
        <v>1454.83</v>
      </c>
      <c r="E784" s="2">
        <v>1440.66</v>
      </c>
      <c r="F784" s="1">
        <v>-7.0000000000000001E-3</v>
      </c>
      <c r="G784" s="2">
        <f t="shared" si="72"/>
        <v>2025</v>
      </c>
      <c r="H784" s="2" t="str">
        <f t="shared" si="73"/>
        <v>Dec</v>
      </c>
      <c r="I784" s="2">
        <f t="shared" si="74"/>
        <v>12</v>
      </c>
      <c r="J784" s="2" t="str">
        <f t="shared" si="75"/>
        <v>2025-12</v>
      </c>
      <c r="K784" s="2">
        <f t="shared" si="76"/>
        <v>53</v>
      </c>
      <c r="L784" s="2">
        <f ca="1">AVERAGE(OFFSET(USD_NGN_Historical_Data__17[[#This Row],[Rate]], -6, 0, 7, 1))</f>
        <v>1452.3507142857143</v>
      </c>
      <c r="M784" s="2" t="str">
        <f t="shared" si="77"/>
        <v>Wed</v>
      </c>
    </row>
    <row r="785" spans="1:13" x14ac:dyDescent="0.35">
      <c r="A785" s="4">
        <v>46023</v>
      </c>
      <c r="B785" s="2">
        <v>1446.5</v>
      </c>
      <c r="C785" s="2">
        <v>1444.575</v>
      </c>
      <c r="D785" s="2">
        <v>1446.5</v>
      </c>
      <c r="E785" s="2">
        <v>1441.7</v>
      </c>
      <c r="F785" s="1">
        <v>1.2999999999999999E-3</v>
      </c>
      <c r="G785" s="2">
        <f t="shared" si="72"/>
        <v>2026</v>
      </c>
      <c r="H785" s="2" t="str">
        <f t="shared" si="73"/>
        <v>Jan</v>
      </c>
      <c r="I785" s="2">
        <f t="shared" si="74"/>
        <v>1</v>
      </c>
      <c r="J785" s="2" t="str">
        <f t="shared" si="75"/>
        <v>2026-01</v>
      </c>
      <c r="K785" s="2">
        <f t="shared" si="76"/>
        <v>1</v>
      </c>
      <c r="L785" s="2">
        <f ca="1">AVERAGE(OFFSET(USD_NGN_Historical_Data__17[[#This Row],[Rate]], -6, 0, 7, 1))</f>
        <v>1450.2071428571428</v>
      </c>
      <c r="M785" s="2" t="str">
        <f t="shared" si="77"/>
        <v>Thu</v>
      </c>
    </row>
    <row r="786" spans="1:13" x14ac:dyDescent="0.35">
      <c r="A786" s="4">
        <v>46024</v>
      </c>
      <c r="B786" s="2">
        <v>1433.73</v>
      </c>
      <c r="C786" s="2">
        <v>1441.7</v>
      </c>
      <c r="D786" s="2">
        <v>1446.5</v>
      </c>
      <c r="E786" s="2">
        <v>1428.6849999999999</v>
      </c>
      <c r="F786" s="1">
        <v>-8.8000000000000005E-3</v>
      </c>
      <c r="G786" s="2">
        <f t="shared" si="72"/>
        <v>2026</v>
      </c>
      <c r="H786" s="2" t="str">
        <f t="shared" si="73"/>
        <v>Jan</v>
      </c>
      <c r="I786" s="2">
        <f t="shared" si="74"/>
        <v>1</v>
      </c>
      <c r="J786" s="2" t="str">
        <f t="shared" si="75"/>
        <v>2026-01</v>
      </c>
      <c r="K786" s="2">
        <f t="shared" si="76"/>
        <v>1</v>
      </c>
      <c r="L786" s="2">
        <f ca="1">AVERAGE(OFFSET(USD_NGN_Historical_Data__17[[#This Row],[Rate]], -6, 0, 7, 1))</f>
        <v>1447.8642857142856</v>
      </c>
      <c r="M786" s="2" t="str">
        <f t="shared" si="77"/>
        <v>Fri</v>
      </c>
    </row>
    <row r="787" spans="1:13" x14ac:dyDescent="0.35">
      <c r="A787" s="4">
        <v>46027</v>
      </c>
      <c r="B787" s="2">
        <v>1433.54</v>
      </c>
      <c r="C787" s="2">
        <v>1436</v>
      </c>
      <c r="D787" s="2">
        <v>1446.375</v>
      </c>
      <c r="E787" s="2">
        <v>1430.375</v>
      </c>
      <c r="F787" s="1">
        <v>-1E-4</v>
      </c>
      <c r="G787" s="2">
        <f t="shared" si="72"/>
        <v>2026</v>
      </c>
      <c r="H787" s="2" t="str">
        <f t="shared" si="73"/>
        <v>Jan</v>
      </c>
      <c r="I787" s="2">
        <f t="shared" si="74"/>
        <v>1</v>
      </c>
      <c r="J787" s="2" t="str">
        <f t="shared" si="75"/>
        <v>2026-01</v>
      </c>
      <c r="K787" s="2">
        <f t="shared" si="76"/>
        <v>2</v>
      </c>
      <c r="L787" s="2">
        <f ca="1">AVERAGE(OFFSET(USD_NGN_Historical_Data__17[[#This Row],[Rate]], -6, 0, 7, 1))</f>
        <v>1445.4371428571426</v>
      </c>
      <c r="M787" s="2" t="str">
        <f t="shared" si="77"/>
        <v>Mon</v>
      </c>
    </row>
    <row r="788" spans="1:13" x14ac:dyDescent="0.35">
      <c r="A788" s="4">
        <v>46028</v>
      </c>
      <c r="B788" s="2">
        <v>1424.415</v>
      </c>
      <c r="C788" s="2">
        <v>1433.57</v>
      </c>
      <c r="D788" s="2">
        <v>1435.5450000000001</v>
      </c>
      <c r="E788" s="2">
        <v>1423.3150000000001</v>
      </c>
      <c r="F788" s="1">
        <v>-6.4000000000000003E-3</v>
      </c>
      <c r="G788" s="2">
        <f t="shared" si="72"/>
        <v>2026</v>
      </c>
      <c r="H788" s="2" t="str">
        <f t="shared" si="73"/>
        <v>Jan</v>
      </c>
      <c r="I788" s="2">
        <f t="shared" si="74"/>
        <v>1</v>
      </c>
      <c r="J788" s="2" t="str">
        <f t="shared" si="75"/>
        <v>2026-01</v>
      </c>
      <c r="K788" s="2">
        <f t="shared" si="76"/>
        <v>2</v>
      </c>
      <c r="L788" s="2">
        <f ca="1">AVERAGE(OFFSET(USD_NGN_Historical_Data__17[[#This Row],[Rate]], -6, 0, 7, 1))</f>
        <v>1441.5507142857143</v>
      </c>
      <c r="M788" s="2" t="str">
        <f t="shared" si="77"/>
        <v>Tue</v>
      </c>
    </row>
    <row r="789" spans="1:13" x14ac:dyDescent="0.35">
      <c r="A789" s="4">
        <v>46029</v>
      </c>
      <c r="B789" s="2">
        <v>1422.41</v>
      </c>
      <c r="C789" s="2">
        <v>1424.36</v>
      </c>
      <c r="D789" s="2">
        <v>1431.5</v>
      </c>
      <c r="E789" s="2">
        <v>1412.5250000000001</v>
      </c>
      <c r="F789" s="1">
        <v>-1.4E-3</v>
      </c>
      <c r="G789" s="2">
        <f t="shared" si="72"/>
        <v>2026</v>
      </c>
      <c r="H789" s="2" t="str">
        <f t="shared" si="73"/>
        <v>Jan</v>
      </c>
      <c r="I789" s="2">
        <f t="shared" si="74"/>
        <v>1</v>
      </c>
      <c r="J789" s="2" t="str">
        <f t="shared" si="75"/>
        <v>2026-01</v>
      </c>
      <c r="K789" s="2">
        <f t="shared" si="76"/>
        <v>2</v>
      </c>
      <c r="L789" s="2">
        <f ca="1">AVERAGE(OFFSET(USD_NGN_Historical_Data__17[[#This Row],[Rate]], -6, 0, 7, 1))</f>
        <v>1437.1399999999999</v>
      </c>
      <c r="M789" s="2" t="str">
        <f t="shared" si="77"/>
        <v>Wed</v>
      </c>
    </row>
    <row r="790" spans="1:13" x14ac:dyDescent="0.35">
      <c r="A790" s="4">
        <v>46030</v>
      </c>
      <c r="B790" s="2">
        <v>1424.175</v>
      </c>
      <c r="C790" s="2">
        <v>1422.655</v>
      </c>
      <c r="D790" s="2">
        <v>1427</v>
      </c>
      <c r="E790" s="2">
        <v>1418.75</v>
      </c>
      <c r="F790" s="1">
        <v>1.1999999999999999E-3</v>
      </c>
      <c r="G790" s="2">
        <f t="shared" si="72"/>
        <v>2026</v>
      </c>
      <c r="H790" s="2" t="str">
        <f t="shared" si="73"/>
        <v>Jan</v>
      </c>
      <c r="I790" s="2">
        <f t="shared" si="74"/>
        <v>1</v>
      </c>
      <c r="J790" s="2" t="str">
        <f t="shared" si="75"/>
        <v>2026-01</v>
      </c>
      <c r="K790" s="2">
        <f t="shared" si="76"/>
        <v>2</v>
      </c>
      <c r="L790" s="2">
        <f ca="1">AVERAGE(OFFSET(USD_NGN_Historical_Data__17[[#This Row],[Rate]], -6, 0, 7, 1))</f>
        <v>1432.762857142857</v>
      </c>
      <c r="M790" s="2" t="str">
        <f t="shared" si="77"/>
        <v>Thu</v>
      </c>
    </row>
    <row r="791" spans="1:13" x14ac:dyDescent="0.35">
      <c r="A791" s="4">
        <v>46031</v>
      </c>
      <c r="B791" s="2">
        <v>1428.87</v>
      </c>
      <c r="C791" s="2">
        <v>1424.2049999999999</v>
      </c>
      <c r="D791" s="2">
        <v>1429.655</v>
      </c>
      <c r="E791" s="2">
        <v>1418.895</v>
      </c>
      <c r="F791" s="1">
        <v>3.3E-3</v>
      </c>
      <c r="G791" s="2">
        <f t="shared" si="72"/>
        <v>2026</v>
      </c>
      <c r="H791" s="2" t="str">
        <f t="shared" si="73"/>
        <v>Jan</v>
      </c>
      <c r="I791" s="2">
        <f t="shared" si="74"/>
        <v>1</v>
      </c>
      <c r="J791" s="2" t="str">
        <f t="shared" si="75"/>
        <v>2026-01</v>
      </c>
      <c r="K791" s="2">
        <f t="shared" si="76"/>
        <v>2</v>
      </c>
      <c r="L791" s="2">
        <f ca="1">AVERAGE(OFFSET(USD_NGN_Historical_Data__17[[#This Row],[Rate]], -6, 0, 7, 1))</f>
        <v>1430.52</v>
      </c>
      <c r="M791" s="2" t="str">
        <f t="shared" si="77"/>
        <v>Fri</v>
      </c>
    </row>
    <row r="792" spans="1:13" x14ac:dyDescent="0.35">
      <c r="A792" s="4">
        <v>46034</v>
      </c>
      <c r="B792" s="2">
        <v>1424.0650000000001</v>
      </c>
      <c r="C792" s="2">
        <v>1420.66</v>
      </c>
      <c r="D792" s="2">
        <v>1428.08</v>
      </c>
      <c r="E792" s="2">
        <v>1419.73</v>
      </c>
      <c r="F792" s="1">
        <v>-3.3999999999999998E-3</v>
      </c>
      <c r="G792" s="2">
        <f t="shared" si="72"/>
        <v>2026</v>
      </c>
      <c r="H792" s="2" t="str">
        <f t="shared" si="73"/>
        <v>Jan</v>
      </c>
      <c r="I792" s="2">
        <f t="shared" si="74"/>
        <v>1</v>
      </c>
      <c r="J792" s="2" t="str">
        <f t="shared" si="75"/>
        <v>2026-01</v>
      </c>
      <c r="K792" s="2">
        <f t="shared" si="76"/>
        <v>3</v>
      </c>
      <c r="L792" s="2">
        <f ca="1">AVERAGE(OFFSET(USD_NGN_Historical_Data__17[[#This Row],[Rate]], -6, 0, 7, 1))</f>
        <v>1427.3150000000001</v>
      </c>
      <c r="M792" s="2" t="str">
        <f t="shared" si="77"/>
        <v>Mon</v>
      </c>
    </row>
    <row r="793" spans="1:13" x14ac:dyDescent="0.35">
      <c r="A793" s="4">
        <v>46035</v>
      </c>
      <c r="B793" s="2">
        <v>1421.9849999999999</v>
      </c>
      <c r="C793" s="2">
        <v>1424.075</v>
      </c>
      <c r="D793" s="2">
        <v>1425.635</v>
      </c>
      <c r="E793" s="2">
        <v>1419.05</v>
      </c>
      <c r="F793" s="1">
        <v>-1.5E-3</v>
      </c>
      <c r="G793" s="2">
        <f t="shared" si="72"/>
        <v>2026</v>
      </c>
      <c r="H793" s="2" t="str">
        <f t="shared" si="73"/>
        <v>Jan</v>
      </c>
      <c r="I793" s="2">
        <f t="shared" si="74"/>
        <v>1</v>
      </c>
      <c r="J793" s="2" t="str">
        <f t="shared" si="75"/>
        <v>2026-01</v>
      </c>
      <c r="K793" s="2">
        <f t="shared" si="76"/>
        <v>3</v>
      </c>
      <c r="L793" s="2">
        <f ca="1">AVERAGE(OFFSET(USD_NGN_Historical_Data__17[[#This Row],[Rate]], -6, 0, 7, 1))</f>
        <v>1425.6371428571431</v>
      </c>
      <c r="M793" s="2" t="str">
        <f t="shared" si="77"/>
        <v>Tue</v>
      </c>
    </row>
    <row r="794" spans="1:13" x14ac:dyDescent="0.35">
      <c r="A794" s="4">
        <v>46036</v>
      </c>
      <c r="B794" s="2">
        <v>1421.7349999999999</v>
      </c>
      <c r="C794" s="2">
        <v>1421.9949999999999</v>
      </c>
      <c r="D794" s="2">
        <v>1426.5</v>
      </c>
      <c r="E794" s="2">
        <v>1418.11</v>
      </c>
      <c r="F794" s="1">
        <v>-2.0000000000000001E-4</v>
      </c>
      <c r="G794" s="2">
        <f t="shared" si="72"/>
        <v>2026</v>
      </c>
      <c r="H794" s="2" t="str">
        <f t="shared" si="73"/>
        <v>Jan</v>
      </c>
      <c r="I794" s="2">
        <f t="shared" si="74"/>
        <v>1</v>
      </c>
      <c r="J794" s="2" t="str">
        <f t="shared" si="75"/>
        <v>2026-01</v>
      </c>
      <c r="K794" s="2">
        <f t="shared" si="76"/>
        <v>3</v>
      </c>
      <c r="L794" s="2">
        <f ca="1">AVERAGE(OFFSET(USD_NGN_Historical_Data__17[[#This Row],[Rate]], -6, 0, 7, 1))</f>
        <v>1423.9507142857144</v>
      </c>
      <c r="M794" s="2" t="str">
        <f t="shared" si="77"/>
        <v>Wed</v>
      </c>
    </row>
    <row r="795" spans="1:13" x14ac:dyDescent="0.35">
      <c r="A795" s="4">
        <v>46037</v>
      </c>
      <c r="B795" s="2">
        <v>1422.27</v>
      </c>
      <c r="C795" s="2">
        <v>1418.92</v>
      </c>
      <c r="D795" s="2">
        <v>1425.01</v>
      </c>
      <c r="E795" s="2">
        <v>1415.7049999999999</v>
      </c>
      <c r="F795" s="1">
        <v>4.0000000000000002E-4</v>
      </c>
      <c r="G795" s="2">
        <f t="shared" si="72"/>
        <v>2026</v>
      </c>
      <c r="H795" s="2" t="str">
        <f t="shared" si="73"/>
        <v>Jan</v>
      </c>
      <c r="I795" s="2">
        <f t="shared" si="74"/>
        <v>1</v>
      </c>
      <c r="J795" s="2" t="str">
        <f t="shared" si="75"/>
        <v>2026-01</v>
      </c>
      <c r="K795" s="2">
        <f t="shared" si="76"/>
        <v>3</v>
      </c>
      <c r="L795" s="2">
        <f ca="1">AVERAGE(OFFSET(USD_NGN_Historical_Data__17[[#This Row],[Rate]], -6, 0, 7, 1))</f>
        <v>1423.6442857142858</v>
      </c>
      <c r="M795" s="2" t="str">
        <f t="shared" si="77"/>
        <v>Thu</v>
      </c>
    </row>
    <row r="796" spans="1:13" x14ac:dyDescent="0.35">
      <c r="A796" s="4">
        <v>46038</v>
      </c>
      <c r="B796" s="2">
        <v>1417.16</v>
      </c>
      <c r="C796" s="2">
        <v>1422.2950000000001</v>
      </c>
      <c r="D796" s="2">
        <v>1424.5</v>
      </c>
      <c r="E796" s="2">
        <v>1416.56</v>
      </c>
      <c r="F796" s="1">
        <v>-3.5999999999999999E-3</v>
      </c>
      <c r="G796" s="2">
        <f t="shared" si="72"/>
        <v>2026</v>
      </c>
      <c r="H796" s="2" t="str">
        <f t="shared" si="73"/>
        <v>Jan</v>
      </c>
      <c r="I796" s="2">
        <f t="shared" si="74"/>
        <v>1</v>
      </c>
      <c r="J796" s="2" t="str">
        <f t="shared" si="75"/>
        <v>2026-01</v>
      </c>
      <c r="K796" s="2">
        <f t="shared" si="76"/>
        <v>3</v>
      </c>
      <c r="L796" s="2">
        <f ca="1">AVERAGE(OFFSET(USD_NGN_Historical_Data__17[[#This Row],[Rate]], -6, 0, 7, 1))</f>
        <v>1422.8942857142858</v>
      </c>
      <c r="M796" s="2" t="str">
        <f t="shared" si="77"/>
        <v>Fri</v>
      </c>
    </row>
    <row r="797" spans="1:13" x14ac:dyDescent="0.35">
      <c r="A797" s="4">
        <v>46041</v>
      </c>
      <c r="B797" s="2">
        <v>1419.415</v>
      </c>
      <c r="C797" s="2">
        <v>1420</v>
      </c>
      <c r="D797" s="2">
        <v>1423.43</v>
      </c>
      <c r="E797" s="2">
        <v>1415.79</v>
      </c>
      <c r="F797" s="1">
        <v>1.6000000000000001E-3</v>
      </c>
      <c r="G797" s="2">
        <f t="shared" si="72"/>
        <v>2026</v>
      </c>
      <c r="H797" s="2" t="str">
        <f t="shared" si="73"/>
        <v>Jan</v>
      </c>
      <c r="I797" s="2">
        <f t="shared" si="74"/>
        <v>1</v>
      </c>
      <c r="J797" s="2" t="str">
        <f t="shared" si="75"/>
        <v>2026-01</v>
      </c>
      <c r="K797" s="2">
        <f t="shared" si="76"/>
        <v>4</v>
      </c>
      <c r="L797" s="2">
        <f ca="1">AVERAGE(OFFSET(USD_NGN_Historical_Data__17[[#This Row],[Rate]], -6, 0, 7, 1))</f>
        <v>1422.2142857142858</v>
      </c>
      <c r="M797" s="2" t="str">
        <f t="shared" si="77"/>
        <v>Mon</v>
      </c>
    </row>
    <row r="798" spans="1:13" x14ac:dyDescent="0.35">
      <c r="A798" s="4">
        <v>46042</v>
      </c>
      <c r="B798" s="2">
        <v>1418.655</v>
      </c>
      <c r="C798" s="2">
        <v>1417.1</v>
      </c>
      <c r="D798" s="2">
        <v>1422.61</v>
      </c>
      <c r="E798" s="2">
        <v>1415.845</v>
      </c>
      <c r="F798" s="1">
        <v>-5.0000000000000001E-4</v>
      </c>
      <c r="G798" s="2">
        <f t="shared" si="72"/>
        <v>2026</v>
      </c>
      <c r="H798" s="2" t="str">
        <f t="shared" si="73"/>
        <v>Jan</v>
      </c>
      <c r="I798" s="2">
        <f t="shared" si="74"/>
        <v>1</v>
      </c>
      <c r="J798" s="2" t="str">
        <f t="shared" si="75"/>
        <v>2026-01</v>
      </c>
      <c r="K798" s="2">
        <f t="shared" si="76"/>
        <v>4</v>
      </c>
      <c r="L798" s="2">
        <f ca="1">AVERAGE(OFFSET(USD_NGN_Historical_Data__17[[#This Row],[Rate]], -6, 0, 7, 1))</f>
        <v>1420.7550000000003</v>
      </c>
      <c r="M798" s="2" t="str">
        <f t="shared" si="77"/>
        <v>Tue</v>
      </c>
    </row>
    <row r="799" spans="1:13" x14ac:dyDescent="0.35">
      <c r="A799" s="4">
        <v>46043</v>
      </c>
      <c r="B799" s="2">
        <v>1420.22</v>
      </c>
      <c r="C799" s="2">
        <v>1416.49</v>
      </c>
      <c r="D799" s="2">
        <v>1422.9449999999999</v>
      </c>
      <c r="E799" s="2">
        <v>1416.11</v>
      </c>
      <c r="F799" s="1">
        <v>1.1000000000000001E-3</v>
      </c>
      <c r="G799" s="2">
        <f t="shared" si="72"/>
        <v>2026</v>
      </c>
      <c r="H799" s="2" t="str">
        <f t="shared" si="73"/>
        <v>Jan</v>
      </c>
      <c r="I799" s="2">
        <f t="shared" si="74"/>
        <v>1</v>
      </c>
      <c r="J799" s="2" t="str">
        <f t="shared" si="75"/>
        <v>2026-01</v>
      </c>
      <c r="K799" s="2">
        <f t="shared" si="76"/>
        <v>4</v>
      </c>
      <c r="L799" s="2">
        <f ca="1">AVERAGE(OFFSET(USD_NGN_Historical_Data__17[[#This Row],[Rate]], -6, 0, 7, 1))</f>
        <v>1420.2057142857141</v>
      </c>
      <c r="M799" s="2" t="str">
        <f t="shared" si="77"/>
        <v>Wed</v>
      </c>
    </row>
    <row r="800" spans="1:13" x14ac:dyDescent="0.35">
      <c r="A800" s="4">
        <v>46044</v>
      </c>
      <c r="B800" s="2">
        <v>1421.57</v>
      </c>
      <c r="C800" s="2">
        <v>1420.2449999999999</v>
      </c>
      <c r="D800" s="2">
        <v>1423.62</v>
      </c>
      <c r="E800" s="2">
        <v>1418.66</v>
      </c>
      <c r="F800" s="1">
        <v>1E-3</v>
      </c>
      <c r="G800" s="2">
        <f t="shared" si="72"/>
        <v>2026</v>
      </c>
      <c r="H800" s="2" t="str">
        <f t="shared" si="73"/>
        <v>Jan</v>
      </c>
      <c r="I800" s="2">
        <f t="shared" si="74"/>
        <v>1</v>
      </c>
      <c r="J800" s="2" t="str">
        <f t="shared" si="75"/>
        <v>2026-01</v>
      </c>
      <c r="K800" s="2">
        <f t="shared" si="76"/>
        <v>4</v>
      </c>
      <c r="L800" s="2">
        <f ca="1">AVERAGE(OFFSET(USD_NGN_Historical_Data__17[[#This Row],[Rate]], -6, 0, 7, 1))</f>
        <v>1420.1464285714285</v>
      </c>
      <c r="M800" s="2" t="str">
        <f t="shared" si="77"/>
        <v>Thu</v>
      </c>
    </row>
    <row r="801" spans="1:13" x14ac:dyDescent="0.35">
      <c r="A801" s="4">
        <v>46045</v>
      </c>
      <c r="B801" s="2">
        <v>1420.7449999999999</v>
      </c>
      <c r="C801" s="2">
        <v>1419.76</v>
      </c>
      <c r="D801" s="2">
        <v>1423.77</v>
      </c>
      <c r="E801" s="2">
        <v>1418.2049999999999</v>
      </c>
      <c r="F801" s="1">
        <v>-5.9999999999999995E-4</v>
      </c>
      <c r="G801" s="2">
        <f t="shared" si="72"/>
        <v>2026</v>
      </c>
      <c r="H801" s="2" t="str">
        <f t="shared" si="73"/>
        <v>Jan</v>
      </c>
      <c r="I801" s="2">
        <f t="shared" si="74"/>
        <v>1</v>
      </c>
      <c r="J801" s="2" t="str">
        <f t="shared" si="75"/>
        <v>2026-01</v>
      </c>
      <c r="K801" s="2">
        <f t="shared" si="76"/>
        <v>4</v>
      </c>
      <c r="L801" s="2">
        <f ca="1">AVERAGE(OFFSET(USD_NGN_Historical_Data__17[[#This Row],[Rate]], -6, 0, 7, 1))</f>
        <v>1420.0049999999999</v>
      </c>
      <c r="M801" s="2" t="str">
        <f t="shared" si="77"/>
        <v>Fri</v>
      </c>
    </row>
    <row r="802" spans="1:13" x14ac:dyDescent="0.35">
      <c r="A802" s="4">
        <v>46048</v>
      </c>
      <c r="B802" s="2">
        <v>1416.875</v>
      </c>
      <c r="C802" s="2">
        <v>1421.4849999999999</v>
      </c>
      <c r="D802" s="2">
        <v>1422.95</v>
      </c>
      <c r="E802" s="2">
        <v>1408.5</v>
      </c>
      <c r="F802" s="1">
        <v>-2.7000000000000001E-3</v>
      </c>
      <c r="G802" s="2">
        <f t="shared" si="72"/>
        <v>2026</v>
      </c>
      <c r="H802" s="2" t="str">
        <f t="shared" si="73"/>
        <v>Jan</v>
      </c>
      <c r="I802" s="2">
        <f t="shared" si="74"/>
        <v>1</v>
      </c>
      <c r="J802" s="2" t="str">
        <f t="shared" si="75"/>
        <v>2026-01</v>
      </c>
      <c r="K802" s="2">
        <f t="shared" si="76"/>
        <v>5</v>
      </c>
      <c r="L802" s="2">
        <f ca="1">AVERAGE(OFFSET(USD_NGN_Historical_Data__17[[#This Row],[Rate]], -6, 0, 7, 1))</f>
        <v>1419.2342857142855</v>
      </c>
      <c r="M802" s="2" t="str">
        <f t="shared" si="77"/>
        <v>Mon</v>
      </c>
    </row>
    <row r="803" spans="1:13" x14ac:dyDescent="0.35">
      <c r="A803" s="4">
        <v>46049</v>
      </c>
      <c r="B803" s="2">
        <v>1407.76</v>
      </c>
      <c r="C803" s="2">
        <v>1416.915</v>
      </c>
      <c r="D803" s="2">
        <v>1418.855</v>
      </c>
      <c r="E803" s="2">
        <v>1405.4949999999999</v>
      </c>
      <c r="F803" s="1">
        <v>-6.4000000000000003E-3</v>
      </c>
      <c r="G803" s="2">
        <f t="shared" si="72"/>
        <v>2026</v>
      </c>
      <c r="H803" s="2" t="str">
        <f t="shared" si="73"/>
        <v>Jan</v>
      </c>
      <c r="I803" s="2">
        <f t="shared" si="74"/>
        <v>1</v>
      </c>
      <c r="J803" s="2" t="str">
        <f t="shared" si="75"/>
        <v>2026-01</v>
      </c>
      <c r="K803" s="2">
        <f t="shared" si="76"/>
        <v>5</v>
      </c>
      <c r="L803" s="2">
        <f ca="1">AVERAGE(OFFSET(USD_NGN_Historical_Data__17[[#This Row],[Rate]], -6, 0, 7, 1))</f>
        <v>1417.8914285714286</v>
      </c>
      <c r="M803" s="2" t="str">
        <f t="shared" si="77"/>
        <v>Tue</v>
      </c>
    </row>
    <row r="804" spans="1:13" x14ac:dyDescent="0.35">
      <c r="A804" s="4">
        <v>46050</v>
      </c>
      <c r="B804" s="2">
        <v>1394.77</v>
      </c>
      <c r="C804" s="2">
        <v>1407.67</v>
      </c>
      <c r="D804" s="2">
        <v>1409.865</v>
      </c>
      <c r="E804" s="2">
        <v>1392.4949999999999</v>
      </c>
      <c r="F804" s="1">
        <v>-9.1999999999999998E-3</v>
      </c>
      <c r="G804" s="2">
        <f t="shared" si="72"/>
        <v>2026</v>
      </c>
      <c r="H804" s="2" t="str">
        <f t="shared" si="73"/>
        <v>Jan</v>
      </c>
      <c r="I804" s="2">
        <f t="shared" si="74"/>
        <v>1</v>
      </c>
      <c r="J804" s="2" t="str">
        <f t="shared" si="75"/>
        <v>2026-01</v>
      </c>
      <c r="K804" s="2">
        <f t="shared" si="76"/>
        <v>5</v>
      </c>
      <c r="L804" s="2">
        <f ca="1">AVERAGE(OFFSET(USD_NGN_Historical_Data__17[[#This Row],[Rate]], -6, 0, 7, 1))</f>
        <v>1414.3707142857143</v>
      </c>
      <c r="M804" s="2" t="str">
        <f t="shared" si="77"/>
        <v>Wed</v>
      </c>
    </row>
    <row r="805" spans="1:13" x14ac:dyDescent="0.35">
      <c r="A805" s="4">
        <v>46051</v>
      </c>
      <c r="B805" s="2">
        <v>1385.5</v>
      </c>
      <c r="C805" s="2">
        <v>1393.23</v>
      </c>
      <c r="D805" s="2">
        <v>1396.9649999999999</v>
      </c>
      <c r="E805" s="2">
        <v>1375.645</v>
      </c>
      <c r="F805" s="1">
        <v>-6.6E-3</v>
      </c>
      <c r="G805" s="2">
        <f t="shared" si="72"/>
        <v>2026</v>
      </c>
      <c r="H805" s="2" t="str">
        <f t="shared" si="73"/>
        <v>Jan</v>
      </c>
      <c r="I805" s="2">
        <f t="shared" si="74"/>
        <v>1</v>
      </c>
      <c r="J805" s="2" t="str">
        <f t="shared" si="75"/>
        <v>2026-01</v>
      </c>
      <c r="K805" s="2">
        <f t="shared" si="76"/>
        <v>5</v>
      </c>
      <c r="L805" s="2">
        <f ca="1">AVERAGE(OFFSET(USD_NGN_Historical_Data__17[[#This Row],[Rate]], -6, 0, 7, 1))</f>
        <v>1409.6342857142859</v>
      </c>
      <c r="M805" s="2" t="str">
        <f t="shared" si="77"/>
        <v>Thu</v>
      </c>
    </row>
    <row r="806" spans="1:13" x14ac:dyDescent="0.35">
      <c r="A806" s="4">
        <v>46052</v>
      </c>
      <c r="B806" s="2">
        <v>1386.4549999999999</v>
      </c>
      <c r="C806" s="2">
        <v>1385.96</v>
      </c>
      <c r="D806" s="2">
        <v>1392.08</v>
      </c>
      <c r="E806" s="2">
        <v>1382.2850000000001</v>
      </c>
      <c r="F806" s="1">
        <v>6.9999999999999999E-4</v>
      </c>
      <c r="G806" s="2">
        <f t="shared" si="72"/>
        <v>2026</v>
      </c>
      <c r="H806" s="2" t="str">
        <f t="shared" si="73"/>
        <v>Jan</v>
      </c>
      <c r="I806" s="2">
        <f t="shared" si="74"/>
        <v>1</v>
      </c>
      <c r="J806" s="2" t="str">
        <f t="shared" si="75"/>
        <v>2026-01</v>
      </c>
      <c r="K806" s="2">
        <f t="shared" si="76"/>
        <v>5</v>
      </c>
      <c r="L806" s="2">
        <f ca="1">AVERAGE(OFFSET(USD_NGN_Historical_Data__17[[#This Row],[Rate]], -6, 0, 7, 1))</f>
        <v>1404.8107142857141</v>
      </c>
      <c r="M806" s="2" t="str">
        <f t="shared" si="77"/>
        <v>Fri</v>
      </c>
    </row>
    <row r="807" spans="1:13" x14ac:dyDescent="0.35">
      <c r="J807" s="8"/>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
  <sheetViews>
    <sheetView topLeftCell="A22" workbookViewId="0">
      <selection activeCell="C35" sqref="C35"/>
    </sheetView>
  </sheetViews>
  <sheetFormatPr defaultRowHeight="14.5" x14ac:dyDescent="0.35"/>
  <cols>
    <col min="1" max="2" width="12.36328125" customWidth="1"/>
    <col min="3" max="3" width="25" customWidth="1"/>
    <col min="4" max="4" width="12.36328125" customWidth="1"/>
    <col min="5" max="5" width="10.54296875" customWidth="1"/>
    <col min="6" max="6" width="10.453125" bestFit="1" customWidth="1"/>
    <col min="7" max="7" width="12.36328125" customWidth="1"/>
    <col min="8" max="8" width="10.81640625" bestFit="1" customWidth="1"/>
    <col min="9" max="9" width="10.08984375" customWidth="1"/>
    <col min="11" max="11" width="12.36328125" customWidth="1"/>
    <col min="12" max="12" width="13.26953125" customWidth="1"/>
    <col min="14" max="14" width="12.36328125" customWidth="1"/>
    <col min="15" max="15" width="18.453125" customWidth="1"/>
    <col min="16" max="16" width="16.453125" customWidth="1"/>
  </cols>
  <sheetData>
    <row r="1" spans="1:15" x14ac:dyDescent="0.35">
      <c r="A1" t="s">
        <v>816</v>
      </c>
      <c r="B1" t="s">
        <v>817</v>
      </c>
      <c r="D1" s="12" t="s">
        <v>856</v>
      </c>
      <c r="G1" s="12" t="s">
        <v>857</v>
      </c>
      <c r="K1" s="12" t="s">
        <v>858</v>
      </c>
      <c r="N1" s="12" t="s">
        <v>859</v>
      </c>
    </row>
    <row r="2" spans="1:15" x14ac:dyDescent="0.35">
      <c r="A2" t="s">
        <v>818</v>
      </c>
      <c r="B2" s="10">
        <f>INDEX(Clean_Data!B:B, MATCH(MAX(Clean_Data!A:A), Clean_Data!A:A, 0))</f>
        <v>1386.4549999999999</v>
      </c>
      <c r="D2" s="6" t="s">
        <v>826</v>
      </c>
      <c r="E2" t="s">
        <v>847</v>
      </c>
      <c r="G2" s="6" t="s">
        <v>826</v>
      </c>
      <c r="H2" t="s">
        <v>849</v>
      </c>
      <c r="I2" t="s">
        <v>850</v>
      </c>
      <c r="K2" s="6" t="s">
        <v>826</v>
      </c>
      <c r="L2" t="s">
        <v>851</v>
      </c>
      <c r="N2" s="6" t="s">
        <v>826</v>
      </c>
      <c r="O2" t="s">
        <v>855</v>
      </c>
    </row>
    <row r="3" spans="1:15" x14ac:dyDescent="0.35">
      <c r="A3" t="s">
        <v>819</v>
      </c>
      <c r="B3">
        <f>INDEX(Clean_Data!B:B, MATCH(LARGE(Clean_Data!A:A,2), Clean_Data!A:A, 0))</f>
        <v>1385.5</v>
      </c>
      <c r="D3" s="14">
        <v>2023</v>
      </c>
      <c r="E3" s="1">
        <v>650.98608333333334</v>
      </c>
      <c r="G3" s="7" t="s">
        <v>872</v>
      </c>
      <c r="H3" s="1">
        <v>460.52</v>
      </c>
      <c r="I3" s="1">
        <v>445.5</v>
      </c>
      <c r="K3" s="7" t="s">
        <v>872</v>
      </c>
      <c r="L3" s="1">
        <v>4.3855060373167047</v>
      </c>
      <c r="N3" s="7" t="s">
        <v>852</v>
      </c>
      <c r="O3" s="5">
        <v>3.1937500000000013E-3</v>
      </c>
    </row>
    <row r="4" spans="1:15" x14ac:dyDescent="0.35">
      <c r="A4" t="s">
        <v>820</v>
      </c>
      <c r="B4" s="2">
        <f>B2-B3</f>
        <v>0.95499999999992724</v>
      </c>
      <c r="D4" s="14">
        <v>2024</v>
      </c>
      <c r="E4" s="1">
        <v>1476.6747302904571</v>
      </c>
      <c r="G4" s="7" t="s">
        <v>827</v>
      </c>
      <c r="H4" s="1">
        <v>460.55</v>
      </c>
      <c r="I4" s="1">
        <v>460.29</v>
      </c>
      <c r="K4" s="7" t="s">
        <v>827</v>
      </c>
      <c r="L4" s="1">
        <v>6.3886015457637974E-2</v>
      </c>
      <c r="N4" s="7" t="s">
        <v>853</v>
      </c>
      <c r="O4" s="1">
        <v>1.6319502074688798E-3</v>
      </c>
    </row>
    <row r="5" spans="1:15" x14ac:dyDescent="0.35">
      <c r="A5" t="s">
        <v>848</v>
      </c>
      <c r="B5" s="11">
        <f>(B2/B3)-1</f>
        <v>6.8928184770844503E-4</v>
      </c>
      <c r="D5" s="14">
        <v>2025</v>
      </c>
      <c r="E5" s="1">
        <v>1520.577116182573</v>
      </c>
      <c r="G5" s="7" t="s">
        <v>877</v>
      </c>
      <c r="H5" s="1">
        <v>460.54</v>
      </c>
      <c r="I5" s="1">
        <v>459.97</v>
      </c>
      <c r="K5" s="7" t="s">
        <v>877</v>
      </c>
      <c r="L5" s="1">
        <v>8.2264017537086467E-2</v>
      </c>
      <c r="N5" s="7" t="s">
        <v>854</v>
      </c>
      <c r="O5" s="1">
        <v>-2.8713692946058078E-4</v>
      </c>
    </row>
    <row r="6" spans="1:15" x14ac:dyDescent="0.35">
      <c r="A6" t="s">
        <v>821</v>
      </c>
      <c r="B6" s="2">
        <f>AVERAGE(Clean_Data!B:B)</f>
        <v>1217.9293478260868</v>
      </c>
      <c r="D6" s="14">
        <v>2026</v>
      </c>
      <c r="E6" s="1">
        <v>1418.7645454545454</v>
      </c>
      <c r="G6" s="7" t="s">
        <v>880</v>
      </c>
      <c r="H6" s="1">
        <v>465.5</v>
      </c>
      <c r="I6" s="1">
        <v>460.3</v>
      </c>
      <c r="K6" s="7" t="s">
        <v>880</v>
      </c>
      <c r="L6" s="1">
        <v>0.21978969476188623</v>
      </c>
      <c r="N6" s="7" t="s">
        <v>876</v>
      </c>
      <c r="O6" s="1">
        <v>-1.8545454545454544E-3</v>
      </c>
    </row>
    <row r="7" spans="1:15" x14ac:dyDescent="0.35">
      <c r="A7" t="s">
        <v>822</v>
      </c>
      <c r="B7">
        <f>MAX(Clean_Data!B:B)</f>
        <v>1681.39</v>
      </c>
      <c r="D7" s="14" t="s">
        <v>845</v>
      </c>
      <c r="E7" s="1">
        <v>1222.8322244623653</v>
      </c>
      <c r="G7" s="7" t="s">
        <v>865</v>
      </c>
      <c r="H7" s="1">
        <v>775.5</v>
      </c>
      <c r="I7" s="1">
        <v>460.5</v>
      </c>
      <c r="K7" s="7" t="s">
        <v>865</v>
      </c>
      <c r="L7" s="1">
        <v>133.78698817596106</v>
      </c>
      <c r="N7" s="7" t="s">
        <v>845</v>
      </c>
      <c r="O7" s="1">
        <v>1.4110215053763434E-3</v>
      </c>
    </row>
    <row r="8" spans="1:15" x14ac:dyDescent="0.35">
      <c r="A8" t="s">
        <v>823</v>
      </c>
      <c r="B8">
        <f>MIN(Clean_Data!B:B)</f>
        <v>447.58</v>
      </c>
      <c r="G8" s="7" t="s">
        <v>828</v>
      </c>
      <c r="H8" s="1">
        <v>799.5</v>
      </c>
      <c r="I8" s="1">
        <v>756.5</v>
      </c>
      <c r="K8" s="7" t="s">
        <v>828</v>
      </c>
      <c r="L8" s="1">
        <v>8.857473761102689</v>
      </c>
    </row>
    <row r="9" spans="1:15" x14ac:dyDescent="0.35">
      <c r="A9" t="s">
        <v>824</v>
      </c>
      <c r="B9" s="2">
        <f>STDEV(Clean_Data!B:B)</f>
        <v>431.47396753251826</v>
      </c>
      <c r="G9" s="7" t="s">
        <v>829</v>
      </c>
      <c r="H9" s="1">
        <v>792.5</v>
      </c>
      <c r="I9" s="1">
        <v>740.5</v>
      </c>
      <c r="K9" s="7" t="s">
        <v>829</v>
      </c>
      <c r="L9" s="1">
        <v>10.47947415934288</v>
      </c>
    </row>
    <row r="10" spans="1:15" x14ac:dyDescent="0.35">
      <c r="G10" s="7" t="s">
        <v>830</v>
      </c>
      <c r="H10" s="1">
        <v>798.5</v>
      </c>
      <c r="I10" s="1">
        <v>738.04</v>
      </c>
      <c r="K10" s="7" t="s">
        <v>830</v>
      </c>
      <c r="L10" s="1">
        <v>13.1265543478707</v>
      </c>
    </row>
    <row r="11" spans="1:15" x14ac:dyDescent="0.35">
      <c r="G11" s="7" t="s">
        <v>831</v>
      </c>
      <c r="H11" s="1">
        <v>884.5</v>
      </c>
      <c r="I11" s="1">
        <v>747.1</v>
      </c>
      <c r="K11" s="7" t="s">
        <v>831</v>
      </c>
      <c r="L11" s="1">
        <v>32.370462970797369</v>
      </c>
    </row>
    <row r="12" spans="1:15" x14ac:dyDescent="0.35">
      <c r="B12" s="6" t="s">
        <v>826</v>
      </c>
      <c r="C12" t="s">
        <v>860</v>
      </c>
      <c r="D12" t="s">
        <v>861</v>
      </c>
      <c r="E12" t="s">
        <v>862</v>
      </c>
      <c r="G12" s="7" t="s">
        <v>868</v>
      </c>
      <c r="H12" s="1">
        <v>846</v>
      </c>
      <c r="I12" s="1">
        <v>786.5</v>
      </c>
      <c r="K12" s="7" t="s">
        <v>868</v>
      </c>
      <c r="L12" s="1">
        <v>17.898971118461525</v>
      </c>
    </row>
    <row r="13" spans="1:15" x14ac:dyDescent="0.35">
      <c r="B13" s="7" t="s">
        <v>852</v>
      </c>
      <c r="C13" s="1" t="e">
        <v>#REF!</v>
      </c>
      <c r="D13" s="1">
        <v>657.28662499999996</v>
      </c>
      <c r="E13" s="1">
        <v>646.22766666666655</v>
      </c>
      <c r="G13" s="7" t="s">
        <v>832</v>
      </c>
      <c r="H13" s="1">
        <v>906.39</v>
      </c>
      <c r="I13" s="1">
        <v>788.5</v>
      </c>
      <c r="K13" s="7" t="s">
        <v>832</v>
      </c>
      <c r="L13" s="1">
        <v>48.4828404303057</v>
      </c>
    </row>
    <row r="14" spans="1:15" x14ac:dyDescent="0.35">
      <c r="B14" s="7" t="s">
        <v>853</v>
      </c>
      <c r="C14" s="1">
        <v>221.2714778405911</v>
      </c>
      <c r="D14" s="1">
        <v>1509.4419917012444</v>
      </c>
      <c r="E14" s="1">
        <v>1439.9419917012449</v>
      </c>
      <c r="G14" s="7" t="s">
        <v>873</v>
      </c>
      <c r="H14" s="1">
        <v>1250.75</v>
      </c>
      <c r="I14" s="1">
        <v>849.5</v>
      </c>
      <c r="K14" s="7" t="s">
        <v>873</v>
      </c>
      <c r="L14" s="1">
        <v>77.064315655373591</v>
      </c>
    </row>
    <row r="15" spans="1:15" x14ac:dyDescent="0.35">
      <c r="B15" s="7" t="s">
        <v>854</v>
      </c>
      <c r="C15" s="1">
        <v>48.814845315989103</v>
      </c>
      <c r="D15" s="1">
        <v>1529.5606639004147</v>
      </c>
      <c r="E15" s="1">
        <v>1514.1669917012459</v>
      </c>
      <c r="G15" s="7" t="s">
        <v>833</v>
      </c>
      <c r="H15" s="1">
        <v>1661</v>
      </c>
      <c r="I15" s="1">
        <v>1275.5</v>
      </c>
      <c r="K15" s="7" t="s">
        <v>833</v>
      </c>
      <c r="L15" s="1">
        <v>91.336358965354123</v>
      </c>
    </row>
    <row r="16" spans="1:15" x14ac:dyDescent="0.35">
      <c r="B16" s="7" t="s">
        <v>876</v>
      </c>
      <c r="C16" s="1">
        <v>11.682631563171409</v>
      </c>
      <c r="D16" s="1">
        <v>1424.9949999999997</v>
      </c>
      <c r="E16" s="1">
        <v>1414.2013636363636</v>
      </c>
      <c r="G16" s="7" t="s">
        <v>878</v>
      </c>
      <c r="H16" s="1">
        <v>1450</v>
      </c>
      <c r="I16" s="1">
        <v>1002</v>
      </c>
      <c r="K16" s="7" t="s">
        <v>878</v>
      </c>
      <c r="L16" s="1">
        <v>90.844790276311869</v>
      </c>
    </row>
    <row r="17" spans="1:12" x14ac:dyDescent="0.35">
      <c r="B17" s="7" t="s">
        <v>845</v>
      </c>
      <c r="C17" s="1" t="e">
        <v>#REF!</v>
      </c>
      <c r="D17" s="1">
        <v>1238.573010752687</v>
      </c>
      <c r="E17" s="1">
        <v>1207.1872782258065</v>
      </c>
      <c r="G17" s="7" t="s">
        <v>881</v>
      </c>
      <c r="H17" s="1">
        <v>1545</v>
      </c>
      <c r="I17" s="1">
        <v>1197.05</v>
      </c>
      <c r="K17" s="7" t="s">
        <v>881</v>
      </c>
      <c r="L17" s="1">
        <v>79.244770715622067</v>
      </c>
    </row>
    <row r="18" spans="1:12" x14ac:dyDescent="0.35">
      <c r="G18" s="7" t="s">
        <v>866</v>
      </c>
      <c r="H18" s="1">
        <v>1535</v>
      </c>
      <c r="I18" s="1">
        <v>1433.4</v>
      </c>
      <c r="K18" s="7" t="s">
        <v>866</v>
      </c>
      <c r="L18" s="1">
        <v>19.844549987605266</v>
      </c>
    </row>
    <row r="19" spans="1:12" x14ac:dyDescent="0.35">
      <c r="G19" s="7" t="s">
        <v>834</v>
      </c>
      <c r="H19" s="1">
        <v>1670</v>
      </c>
      <c r="I19" s="1">
        <v>1305</v>
      </c>
      <c r="K19" s="7" t="s">
        <v>834</v>
      </c>
      <c r="L19" s="1">
        <v>42.974852468205881</v>
      </c>
    </row>
    <row r="20" spans="1:12" x14ac:dyDescent="0.35">
      <c r="A20" s="6" t="s">
        <v>826</v>
      </c>
      <c r="B20" t="s">
        <v>863</v>
      </c>
      <c r="G20" s="7" t="s">
        <v>835</v>
      </c>
      <c r="H20" s="1">
        <v>1665</v>
      </c>
      <c r="I20" s="1">
        <v>1510</v>
      </c>
      <c r="K20" s="7" t="s">
        <v>835</v>
      </c>
      <c r="L20" s="1">
        <v>18.51514525138813</v>
      </c>
    </row>
    <row r="21" spans="1:12" x14ac:dyDescent="0.35">
      <c r="A21" s="7" t="s">
        <v>852</v>
      </c>
      <c r="B21" s="1">
        <v>905.39</v>
      </c>
      <c r="G21" s="7" t="s">
        <v>836</v>
      </c>
      <c r="H21" s="1">
        <v>1683.11</v>
      </c>
      <c r="I21" s="1">
        <v>1497.5</v>
      </c>
      <c r="K21" s="7" t="s">
        <v>836</v>
      </c>
      <c r="L21" s="1">
        <v>24.765660192309685</v>
      </c>
    </row>
    <row r="22" spans="1:12" x14ac:dyDescent="0.35">
      <c r="A22" s="7" t="s">
        <v>853</v>
      </c>
      <c r="B22" s="1">
        <v>1681.39</v>
      </c>
      <c r="G22" s="7" t="s">
        <v>837</v>
      </c>
      <c r="H22" s="1">
        <v>1690.0550000000001</v>
      </c>
      <c r="I22" s="1">
        <v>1590.69</v>
      </c>
      <c r="K22" s="7" t="s">
        <v>837</v>
      </c>
      <c r="L22" s="1">
        <v>13.822456680869028</v>
      </c>
    </row>
    <row r="23" spans="1:12" x14ac:dyDescent="0.35">
      <c r="A23" s="7" t="s">
        <v>854</v>
      </c>
      <c r="B23" s="1">
        <v>1610.145</v>
      </c>
      <c r="G23" s="7" t="s">
        <v>870</v>
      </c>
      <c r="H23" s="1">
        <v>1717.5</v>
      </c>
      <c r="I23" s="1">
        <v>1620</v>
      </c>
      <c r="K23" s="7" t="s">
        <v>870</v>
      </c>
      <c r="L23" s="1">
        <v>10.794332838509265</v>
      </c>
    </row>
    <row r="24" spans="1:12" x14ac:dyDescent="0.35">
      <c r="A24" s="7" t="s">
        <v>876</v>
      </c>
      <c r="B24" s="1">
        <v>1446.5</v>
      </c>
      <c r="D24" s="6" t="s">
        <v>826</v>
      </c>
      <c r="E24" t="s">
        <v>864</v>
      </c>
      <c r="G24" s="7" t="s">
        <v>838</v>
      </c>
      <c r="H24" s="1">
        <v>1707.5</v>
      </c>
      <c r="I24" s="1">
        <v>1485</v>
      </c>
      <c r="K24" s="7" t="s">
        <v>838</v>
      </c>
      <c r="L24" s="1">
        <v>38.362373772082812</v>
      </c>
    </row>
    <row r="25" spans="1:12" x14ac:dyDescent="0.35">
      <c r="A25" s="7" t="s">
        <v>845</v>
      </c>
      <c r="B25" s="1">
        <v>1681.39</v>
      </c>
      <c r="D25" s="7" t="s">
        <v>852</v>
      </c>
      <c r="E25" s="1">
        <v>447.58</v>
      </c>
      <c r="G25" s="7" t="s">
        <v>874</v>
      </c>
      <c r="H25" s="1">
        <v>1573.6</v>
      </c>
      <c r="I25" s="1">
        <v>1442.5</v>
      </c>
      <c r="K25" s="7" t="s">
        <v>874</v>
      </c>
      <c r="L25" s="1">
        <v>16.774351869203649</v>
      </c>
    </row>
    <row r="26" spans="1:12" x14ac:dyDescent="0.35">
      <c r="D26" s="7" t="s">
        <v>853</v>
      </c>
      <c r="E26" s="1">
        <v>852.77</v>
      </c>
      <c r="G26" s="7" t="s">
        <v>839</v>
      </c>
      <c r="H26" s="1">
        <v>1560</v>
      </c>
      <c r="I26" s="1">
        <v>1491.67</v>
      </c>
      <c r="K26" s="7" t="s">
        <v>839</v>
      </c>
      <c r="L26" s="1">
        <v>17.343056714167229</v>
      </c>
    </row>
    <row r="27" spans="1:12" x14ac:dyDescent="0.35">
      <c r="B27">
        <f>GETPIVOTDATA("Rate",$A$20)</f>
        <v>1681.39</v>
      </c>
      <c r="D27" s="7" t="s">
        <v>854</v>
      </c>
      <c r="E27" s="1">
        <v>1435.03</v>
      </c>
      <c r="G27" s="7" t="s">
        <v>879</v>
      </c>
      <c r="H27" s="1">
        <v>1643.21</v>
      </c>
      <c r="I27" s="1">
        <v>1526.5</v>
      </c>
      <c r="K27" s="7" t="s">
        <v>879</v>
      </c>
      <c r="L27" s="1">
        <v>28.510382953360761</v>
      </c>
    </row>
    <row r="28" spans="1:12" x14ac:dyDescent="0.35">
      <c r="D28" s="7" t="s">
        <v>876</v>
      </c>
      <c r="E28" s="1">
        <v>1385.5</v>
      </c>
      <c r="G28" s="7" t="s">
        <v>882</v>
      </c>
      <c r="H28" s="1">
        <v>1613.895</v>
      </c>
      <c r="I28" s="1">
        <v>1579.865</v>
      </c>
      <c r="K28" s="7" t="s">
        <v>882</v>
      </c>
      <c r="L28" s="1">
        <v>8.5317526860856283</v>
      </c>
    </row>
    <row r="29" spans="1:12" x14ac:dyDescent="0.35">
      <c r="D29" s="7" t="s">
        <v>845</v>
      </c>
      <c r="E29" s="1">
        <v>447.58</v>
      </c>
      <c r="G29" s="7" t="s">
        <v>867</v>
      </c>
      <c r="H29" s="1">
        <v>1590.5</v>
      </c>
      <c r="I29" s="1">
        <v>1528.675</v>
      </c>
      <c r="K29" s="7" t="s">
        <v>867</v>
      </c>
      <c r="L29" s="1">
        <v>13.39995951482387</v>
      </c>
    </row>
    <row r="30" spans="1:12" x14ac:dyDescent="0.35">
      <c r="G30" s="7" t="s">
        <v>840</v>
      </c>
      <c r="H30" s="1">
        <v>1545</v>
      </c>
      <c r="I30" s="1">
        <v>1523</v>
      </c>
      <c r="K30" s="7" t="s">
        <v>840</v>
      </c>
      <c r="L30" s="1">
        <v>1.7393515671939552</v>
      </c>
    </row>
    <row r="31" spans="1:12" x14ac:dyDescent="0.35">
      <c r="E31" s="2">
        <f>GETPIVOTDATA("Rate",$D$2)</f>
        <v>1222.8322244623653</v>
      </c>
      <c r="G31" s="7" t="s">
        <v>841</v>
      </c>
      <c r="H31" s="1">
        <v>1539.625</v>
      </c>
      <c r="I31" s="1">
        <v>1509</v>
      </c>
      <c r="K31" s="7" t="s">
        <v>841</v>
      </c>
      <c r="L31" s="1">
        <v>3.3712033849041299</v>
      </c>
    </row>
    <row r="32" spans="1:12" x14ac:dyDescent="0.35">
      <c r="G32" s="7" t="s">
        <v>842</v>
      </c>
      <c r="H32" s="1">
        <v>1539.5050000000001</v>
      </c>
      <c r="I32" s="1">
        <v>1475</v>
      </c>
      <c r="K32" s="7" t="s">
        <v>842</v>
      </c>
      <c r="L32" s="1">
        <v>17.40872481783083</v>
      </c>
    </row>
    <row r="33" spans="1:12" x14ac:dyDescent="0.35">
      <c r="E33">
        <f>GETPIVOTDATA("Rate",$D$24)</f>
        <v>447.58</v>
      </c>
      <c r="G33" s="7" t="s">
        <v>843</v>
      </c>
      <c r="H33" s="1">
        <v>1503.75</v>
      </c>
      <c r="I33" s="1">
        <v>1429.15</v>
      </c>
      <c r="K33" s="7" t="s">
        <v>843</v>
      </c>
      <c r="L33" s="1">
        <v>9.6066989966539946</v>
      </c>
    </row>
    <row r="34" spans="1:12" x14ac:dyDescent="0.35">
      <c r="A34" s="6" t="s">
        <v>826</v>
      </c>
      <c r="B34" t="s">
        <v>871</v>
      </c>
      <c r="G34" s="7" t="s">
        <v>869</v>
      </c>
      <c r="H34" s="1">
        <v>1459.5</v>
      </c>
      <c r="I34" s="1">
        <v>1425.1</v>
      </c>
      <c r="K34" s="7" t="s">
        <v>869</v>
      </c>
      <c r="L34" s="1">
        <v>5.672709014709727</v>
      </c>
    </row>
    <row r="35" spans="1:12" x14ac:dyDescent="0.35">
      <c r="A35" s="7" t="s">
        <v>852</v>
      </c>
      <c r="B35" s="1">
        <v>240</v>
      </c>
      <c r="G35" s="7" t="s">
        <v>844</v>
      </c>
      <c r="H35" s="1">
        <v>1464.5550000000001</v>
      </c>
      <c r="I35" s="1">
        <v>1439.82</v>
      </c>
      <c r="K35" s="7" t="s">
        <v>844</v>
      </c>
      <c r="L35" s="1">
        <v>4.1577240017013359</v>
      </c>
    </row>
    <row r="36" spans="1:12" x14ac:dyDescent="0.35">
      <c r="A36" s="7" t="s">
        <v>853</v>
      </c>
      <c r="B36" s="1">
        <v>241</v>
      </c>
      <c r="G36" s="7" t="s">
        <v>875</v>
      </c>
      <c r="H36" s="1">
        <v>1446.5</v>
      </c>
      <c r="I36" s="1">
        <v>1375.645</v>
      </c>
      <c r="K36" s="7" t="s">
        <v>875</v>
      </c>
      <c r="L36" s="1">
        <v>14.335252244942044</v>
      </c>
    </row>
    <row r="37" spans="1:12" x14ac:dyDescent="0.35">
      <c r="A37" s="7" t="s">
        <v>854</v>
      </c>
      <c r="B37" s="1">
        <v>241</v>
      </c>
      <c r="G37" s="7" t="s">
        <v>845</v>
      </c>
      <c r="H37" s="1">
        <v>1717.5</v>
      </c>
      <c r="I37" s="1">
        <v>445.5</v>
      </c>
      <c r="K37" s="7" t="s">
        <v>845</v>
      </c>
      <c r="L37" s="1">
        <v>425.97897067863022</v>
      </c>
    </row>
    <row r="38" spans="1:12" x14ac:dyDescent="0.35">
      <c r="A38" s="7" t="s">
        <v>876</v>
      </c>
      <c r="B38" s="1">
        <v>22</v>
      </c>
    </row>
    <row r="39" spans="1:12" x14ac:dyDescent="0.35">
      <c r="A39" s="7" t="s">
        <v>845</v>
      </c>
      <c r="B39" s="1">
        <v>744</v>
      </c>
    </row>
    <row r="42" spans="1:12" x14ac:dyDescent="0.35">
      <c r="D42" s="13"/>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view="pageLayout" topLeftCell="A8" zoomScaleNormal="100" workbookViewId="0"/>
  </sheetViews>
  <sheetFormatPr defaultRowHeight="14.5" x14ac:dyDescent="0.35"/>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B1E57B-D509-4745-94A3-ACAB8BB60A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Clean_Data</vt:lpstr>
      <vt:lpstr>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2026-03-30T18:03:49Z</dcterms:created>
  <dcterms:modified xsi:type="dcterms:W3CDTF">2026-03-31T10:23:51Z</dcterms:modified>
  <cp:contentStatus/>
</cp:coreProperties>
</file>